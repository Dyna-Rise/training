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ynarise\Desktop\DPT様\Excel\04_Excel練習問題\"/>
    </mc:Choice>
  </mc:AlternateContent>
  <xr:revisionPtr revIDLastSave="0" documentId="13_ncr:1_{B986E660-5946-4D65-BF75-01F808A655B3}" xr6:coauthVersionLast="47" xr6:coauthVersionMax="47" xr10:uidLastSave="{00000000-0000-0000-0000-000000000000}"/>
  <bookViews>
    <workbookView xWindow="-120" yWindow="-120" windowWidth="29040" windowHeight="15840" activeTab="9" xr2:uid="{00000000-000D-0000-FFFF-FFFF00000000}"/>
  </bookViews>
  <sheets>
    <sheet name="問1" sheetId="1" r:id="rId1"/>
    <sheet name="問2" sheetId="2" r:id="rId2"/>
    <sheet name="問3" sheetId="3" r:id="rId3"/>
    <sheet name="問4" sheetId="5" r:id="rId4"/>
    <sheet name="問5-1_8" sheetId="7" r:id="rId5"/>
    <sheet name="問5-9" sheetId="8" r:id="rId6"/>
    <sheet name="問5-10" sheetId="17" r:id="rId7"/>
    <sheet name="問5-11,12" sheetId="9" r:id="rId8"/>
    <sheet name="問5-13" sheetId="16" r:id="rId9"/>
    <sheet name="問5-14,15" sheetId="10" r:id="rId10"/>
    <sheet name="問5-16,17" sheetId="14" r:id="rId11"/>
    <sheet name="問5-18" sheetId="11" r:id="rId12"/>
    <sheet name="問5-19" sheetId="12" r:id="rId13"/>
    <sheet name="問5-20" sheetId="1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0" l="1"/>
  <c r="C20" i="10"/>
  <c r="D13" i="17"/>
  <c r="E13" i="17" s="1"/>
  <c r="D12" i="17"/>
  <c r="E12" i="17" s="1"/>
  <c r="D11" i="17"/>
  <c r="E11" i="17" s="1"/>
  <c r="D10" i="17"/>
  <c r="E10" i="17" s="1"/>
  <c r="D9" i="17"/>
  <c r="E9" i="17" s="1"/>
  <c r="D8" i="17"/>
  <c r="E8" i="17" s="1"/>
  <c r="D7" i="17"/>
  <c r="E7" i="17" s="1"/>
  <c r="D6" i="17"/>
  <c r="E6" i="17" s="1"/>
  <c r="D5" i="17"/>
  <c r="E5" i="17" s="1"/>
  <c r="D4" i="17"/>
  <c r="E4" i="17" s="1"/>
  <c r="J11" i="12"/>
  <c r="I11" i="12"/>
  <c r="H11" i="12"/>
  <c r="G11" i="12"/>
  <c r="F11" i="12"/>
  <c r="E11" i="12"/>
  <c r="D11" i="12"/>
  <c r="C11" i="12"/>
  <c r="B11" i="12"/>
  <c r="J10" i="12"/>
  <c r="I10" i="12"/>
  <c r="H10" i="12"/>
  <c r="G10" i="12"/>
  <c r="F10" i="12"/>
  <c r="E10" i="12"/>
  <c r="D10" i="12"/>
  <c r="C10" i="12"/>
  <c r="B10" i="12"/>
  <c r="J9" i="12"/>
  <c r="I9" i="12"/>
  <c r="H9" i="12"/>
  <c r="G9" i="12"/>
  <c r="F9" i="12"/>
  <c r="E9" i="12"/>
  <c r="D9" i="12"/>
  <c r="C9" i="12"/>
  <c r="B9" i="12"/>
  <c r="J8" i="12"/>
  <c r="I8" i="12"/>
  <c r="H8" i="12"/>
  <c r="G8" i="12"/>
  <c r="F8" i="12"/>
  <c r="E8" i="12"/>
  <c r="D8" i="12"/>
  <c r="C8" i="12"/>
  <c r="B8" i="12"/>
  <c r="J7" i="12"/>
  <c r="I7" i="12"/>
  <c r="H7" i="12"/>
  <c r="G7" i="12"/>
  <c r="F7" i="12"/>
  <c r="E7" i="12"/>
  <c r="D7" i="12"/>
  <c r="C7" i="12"/>
  <c r="B7" i="12"/>
  <c r="J6" i="12"/>
  <c r="I6" i="12"/>
  <c r="H6" i="12"/>
  <c r="G6" i="12"/>
  <c r="F6" i="12"/>
  <c r="E6" i="12"/>
  <c r="D6" i="12"/>
  <c r="C6" i="12"/>
  <c r="B6" i="12"/>
  <c r="J5" i="12"/>
  <c r="I5" i="12"/>
  <c r="H5" i="12"/>
  <c r="G5" i="12"/>
  <c r="F5" i="12"/>
  <c r="E5" i="12"/>
  <c r="D5" i="12"/>
  <c r="C5" i="12"/>
  <c r="B5" i="12"/>
  <c r="J4" i="12"/>
  <c r="I4" i="12"/>
  <c r="H4" i="12"/>
  <c r="G4" i="12"/>
  <c r="F4" i="12"/>
  <c r="E4" i="12"/>
  <c r="D4" i="12"/>
  <c r="C4" i="12"/>
  <c r="B4" i="12"/>
  <c r="J3" i="12"/>
  <c r="I3" i="12"/>
  <c r="H3" i="12"/>
  <c r="G3" i="12"/>
  <c r="F3" i="12"/>
  <c r="E3" i="12"/>
  <c r="D3" i="12"/>
  <c r="C3" i="12"/>
  <c r="B3" i="12"/>
  <c r="M12" i="10" l="1"/>
  <c r="D10" i="10"/>
  <c r="D11" i="10" s="1"/>
  <c r="L9" i="10"/>
  <c r="K9" i="10"/>
  <c r="J9" i="10"/>
  <c r="I9" i="10"/>
  <c r="H9" i="10"/>
  <c r="G9" i="10"/>
  <c r="F9" i="10"/>
  <c r="E9" i="10"/>
  <c r="D9" i="10"/>
  <c r="C9" i="10"/>
  <c r="L8" i="10"/>
  <c r="L10" i="10" s="1"/>
  <c r="L11" i="10" s="1"/>
  <c r="K8" i="10"/>
  <c r="K10" i="10" s="1"/>
  <c r="J8" i="10"/>
  <c r="J10" i="10" s="1"/>
  <c r="I8" i="10"/>
  <c r="I10" i="10" s="1"/>
  <c r="I11" i="10" s="1"/>
  <c r="H8" i="10"/>
  <c r="H10" i="10" s="1"/>
  <c r="G8" i="10"/>
  <c r="G10" i="10" s="1"/>
  <c r="G13" i="10" s="1"/>
  <c r="F8" i="10"/>
  <c r="F10" i="10" s="1"/>
  <c r="E8" i="10"/>
  <c r="E10" i="10" s="1"/>
  <c r="D8" i="10"/>
  <c r="C8" i="10"/>
  <c r="C10" i="10" s="1"/>
  <c r="M7" i="10"/>
  <c r="M6" i="10"/>
  <c r="M5" i="10"/>
  <c r="M8" i="10" l="1"/>
  <c r="M9" i="10"/>
  <c r="F13" i="10"/>
  <c r="F11" i="10"/>
  <c r="H11" i="10"/>
  <c r="H13" i="10"/>
  <c r="E13" i="10"/>
  <c r="E11" i="10"/>
  <c r="J11" i="10"/>
  <c r="J13" i="10"/>
  <c r="C11" i="10"/>
  <c r="M10" i="10"/>
  <c r="E14" i="10" s="1"/>
  <c r="C13" i="10"/>
  <c r="K11" i="10"/>
  <c r="K13" i="10"/>
  <c r="I13" i="10"/>
  <c r="G11" i="10"/>
  <c r="D13" i="10"/>
  <c r="L13" i="10"/>
  <c r="J15" i="9"/>
  <c r="E15" i="9"/>
  <c r="D15" i="9"/>
  <c r="C15" i="9"/>
  <c r="H14" i="9"/>
  <c r="G14" i="9"/>
  <c r="F14" i="9"/>
  <c r="G13" i="9"/>
  <c r="F13" i="9"/>
  <c r="H13" i="9" s="1"/>
  <c r="G12" i="9"/>
  <c r="F12" i="9"/>
  <c r="H12" i="9" s="1"/>
  <c r="K12" i="9" s="1"/>
  <c r="G11" i="9"/>
  <c r="F11" i="9"/>
  <c r="H11" i="9" s="1"/>
  <c r="G10" i="9"/>
  <c r="F10" i="9"/>
  <c r="H10" i="9" s="1"/>
  <c r="G9" i="9"/>
  <c r="F9" i="9"/>
  <c r="H9" i="9" s="1"/>
  <c r="G8" i="9"/>
  <c r="F8" i="9"/>
  <c r="H8" i="9" s="1"/>
  <c r="K8" i="9" s="1"/>
  <c r="G7" i="9"/>
  <c r="F7" i="9"/>
  <c r="G6" i="9"/>
  <c r="F6" i="9"/>
  <c r="H6" i="9" s="1"/>
  <c r="G5" i="9"/>
  <c r="F5" i="9"/>
  <c r="H5" i="9" s="1"/>
  <c r="F14" i="10" l="1"/>
  <c r="G14" i="10"/>
  <c r="K14" i="10"/>
  <c r="J14" i="10"/>
  <c r="C14" i="10"/>
  <c r="I14" i="10"/>
  <c r="M13" i="10"/>
  <c r="M14" i="10"/>
  <c r="M11" i="10"/>
  <c r="L14" i="10"/>
  <c r="H14" i="10"/>
  <c r="D14" i="10"/>
  <c r="G15" i="9"/>
  <c r="F15" i="9"/>
  <c r="I13" i="9"/>
  <c r="K13" i="9"/>
  <c r="I5" i="9"/>
  <c r="K5" i="9"/>
  <c r="K11" i="9"/>
  <c r="I11" i="9"/>
  <c r="I9" i="9"/>
  <c r="K9" i="9"/>
  <c r="I8" i="9"/>
  <c r="I12" i="9"/>
  <c r="H7" i="9"/>
  <c r="H15" i="9" s="1"/>
  <c r="I6" i="9"/>
  <c r="I10" i="9"/>
  <c r="I14" i="9"/>
  <c r="K6" i="9"/>
  <c r="K10" i="9"/>
  <c r="K14" i="9"/>
  <c r="L14" i="9" l="1"/>
  <c r="L5" i="9"/>
  <c r="L9" i="9"/>
  <c r="L6" i="9"/>
  <c r="L13" i="9"/>
  <c r="L8" i="9"/>
  <c r="L12" i="9"/>
  <c r="L15" i="9"/>
  <c r="K15" i="9"/>
  <c r="L10" i="9"/>
  <c r="L7" i="9"/>
  <c r="K7" i="9"/>
  <c r="I7" i="9"/>
  <c r="I15" i="9" s="1"/>
  <c r="L11" i="9"/>
</calcChain>
</file>

<file path=xl/sharedStrings.xml><?xml version="1.0" encoding="utf-8"?>
<sst xmlns="http://schemas.openxmlformats.org/spreadsheetml/2006/main" count="574" uniqueCount="284">
  <si>
    <t>担当者</t>
    <rPh sb="0" eb="3">
      <t>タントウシャ</t>
    </rPh>
    <phoneticPr fontId="3"/>
  </si>
  <si>
    <t>フリガナ</t>
    <phoneticPr fontId="3"/>
  </si>
  <si>
    <t>時間</t>
    <rPh sb="0" eb="2">
      <t>ジカン</t>
    </rPh>
    <phoneticPr fontId="3"/>
  </si>
  <si>
    <t>個数</t>
    <rPh sb="0" eb="2">
      <t>コスウ</t>
    </rPh>
    <phoneticPr fontId="3"/>
  </si>
  <si>
    <t>合否</t>
    <rPh sb="0" eb="2">
      <t>ゴウヒ</t>
    </rPh>
    <phoneticPr fontId="3"/>
  </si>
  <si>
    <t>山田　太郎</t>
    <rPh sb="0" eb="2">
      <t>ヤマダ</t>
    </rPh>
    <rPh sb="3" eb="5">
      <t>タロウ</t>
    </rPh>
    <phoneticPr fontId="3"/>
  </si>
  <si>
    <t>品目</t>
    <rPh sb="0" eb="2">
      <t>ヒンモク</t>
    </rPh>
    <phoneticPr fontId="3"/>
  </si>
  <si>
    <t>販売数</t>
    <rPh sb="0" eb="2">
      <t>ハンバイ</t>
    </rPh>
    <rPh sb="2" eb="3">
      <t>スウ</t>
    </rPh>
    <phoneticPr fontId="3"/>
  </si>
  <si>
    <t>単価</t>
    <rPh sb="0" eb="2">
      <t>タンカ</t>
    </rPh>
    <phoneticPr fontId="3"/>
  </si>
  <si>
    <t>お店</t>
    <rPh sb="1" eb="2">
      <t>ミセ</t>
    </rPh>
    <phoneticPr fontId="3"/>
  </si>
  <si>
    <t>りんご</t>
    <phoneticPr fontId="3"/>
  </si>
  <si>
    <t>A店</t>
    <rPh sb="1" eb="2">
      <t>テン</t>
    </rPh>
    <phoneticPr fontId="3"/>
  </si>
  <si>
    <t>みかん</t>
    <phoneticPr fontId="3"/>
  </si>
  <si>
    <t>B店</t>
    <rPh sb="1" eb="2">
      <t>テン</t>
    </rPh>
    <phoneticPr fontId="3"/>
  </si>
  <si>
    <t>バナナ</t>
    <phoneticPr fontId="3"/>
  </si>
  <si>
    <t>C店</t>
    <rPh sb="1" eb="2">
      <t>テン</t>
    </rPh>
    <phoneticPr fontId="3"/>
  </si>
  <si>
    <t>いちご</t>
    <phoneticPr fontId="3"/>
  </si>
  <si>
    <t>D店</t>
    <rPh sb="1" eb="2">
      <t>テン</t>
    </rPh>
    <phoneticPr fontId="3"/>
  </si>
  <si>
    <t>キウイ</t>
    <phoneticPr fontId="3"/>
  </si>
  <si>
    <t>E店</t>
    <rPh sb="1" eb="2">
      <t>テン</t>
    </rPh>
    <phoneticPr fontId="3"/>
  </si>
  <si>
    <t>名前</t>
  </si>
  <si>
    <t>名前フリガナ</t>
  </si>
  <si>
    <t>性別</t>
  </si>
  <si>
    <t>血液型</t>
  </si>
  <si>
    <t>生年月日</t>
  </si>
  <si>
    <t>前田 唯</t>
  </si>
  <si>
    <t>マエタ ユイ</t>
  </si>
  <si>
    <t>女</t>
  </si>
  <si>
    <t>A</t>
  </si>
  <si>
    <t>浜崎 貴雅</t>
  </si>
  <si>
    <t>ハマサキ タカマサ</t>
  </si>
  <si>
    <t>男</t>
  </si>
  <si>
    <t>AB</t>
  </si>
  <si>
    <t>小出 冬樹</t>
  </si>
  <si>
    <t>コイデ フユキ</t>
  </si>
  <si>
    <t>O</t>
  </si>
  <si>
    <t>青山 眞八</t>
  </si>
  <si>
    <t>アオヤマ シンヤ</t>
  </si>
  <si>
    <t>B</t>
  </si>
  <si>
    <t>千田 晴仁</t>
  </si>
  <si>
    <t>センダ ハルヒト</t>
  </si>
  <si>
    <t>榊原 好利</t>
  </si>
  <si>
    <t>サカキハラ ヨシトシ</t>
  </si>
  <si>
    <t>佐野 文吾</t>
  </si>
  <si>
    <t>サノ ブンゴ</t>
  </si>
  <si>
    <t>森岡 由枝</t>
  </si>
  <si>
    <t>モリオカ ヨシエ</t>
  </si>
  <si>
    <t>金城 ハルノ</t>
  </si>
  <si>
    <t>キンジョウ ハルノ</t>
  </si>
  <si>
    <t>奥村 由記彦</t>
  </si>
  <si>
    <t>オクムラ ユキヒコ</t>
  </si>
  <si>
    <t>古川 武久</t>
  </si>
  <si>
    <t>フルカワ タケヒサ</t>
  </si>
  <si>
    <t>村上 麻紀</t>
  </si>
  <si>
    <t>ムラカミ マキ</t>
  </si>
  <si>
    <t>酒井 武俊</t>
  </si>
  <si>
    <t>サカイ タケトシ</t>
  </si>
  <si>
    <t>三好 有</t>
  </si>
  <si>
    <t>ミヨシ タモツ</t>
  </si>
  <si>
    <t>塚本 貫之</t>
  </si>
  <si>
    <t>ツカモト カンジ</t>
  </si>
  <si>
    <t>大田 玲一</t>
  </si>
  <si>
    <t>オオタ レイイチ</t>
  </si>
  <si>
    <t>井口 理恵子</t>
  </si>
  <si>
    <t>イグチ リエコ</t>
  </si>
  <si>
    <t>東 義勝</t>
  </si>
  <si>
    <t>ヒガシ ヨシカツ</t>
  </si>
  <si>
    <t>金城 森勝</t>
  </si>
  <si>
    <t>キンジョウ モリカツ</t>
  </si>
  <si>
    <t>田中 軍市</t>
  </si>
  <si>
    <t>タナカ グンイチ</t>
  </si>
  <si>
    <t>大木 慎吾</t>
  </si>
  <si>
    <t>オオキ シンゴ</t>
  </si>
  <si>
    <t>神田 隆昭</t>
  </si>
  <si>
    <t>カンダ タカアキ</t>
  </si>
  <si>
    <t>丹羽 真理</t>
  </si>
  <si>
    <t>ニワ マリ</t>
  </si>
  <si>
    <t>関根 順子</t>
  </si>
  <si>
    <t>セキネ ジュンコ</t>
  </si>
  <si>
    <t>高橋 時司</t>
  </si>
  <si>
    <t>タカハシ トキジ</t>
  </si>
  <si>
    <t>梅田 克</t>
  </si>
  <si>
    <t>ウメタ マサル</t>
  </si>
  <si>
    <t>稲垣 優香</t>
  </si>
  <si>
    <t>イナガキ ユウカ</t>
  </si>
  <si>
    <t>小柳 常次</t>
  </si>
  <si>
    <t>オヤナギ ツネジ</t>
  </si>
  <si>
    <t>篠崎 宗市</t>
  </si>
  <si>
    <t>シノサキ ソウイチ</t>
  </si>
  <si>
    <t>大山 晴生</t>
  </si>
  <si>
    <t>オオヤマ ハルオ</t>
  </si>
  <si>
    <t>山根 とく子</t>
  </si>
  <si>
    <t>ヤマネ トクコ</t>
  </si>
  <si>
    <t>庄司 勇四郎</t>
  </si>
  <si>
    <t>ショウジ ユウシロウ</t>
  </si>
  <si>
    <t>藤沢 なつみ</t>
  </si>
  <si>
    <t>フジサワ ナツミ</t>
  </si>
  <si>
    <t>黒沢 照和</t>
  </si>
  <si>
    <t>クロサワ テルカズ</t>
  </si>
  <si>
    <t>比嘉 菊子</t>
  </si>
  <si>
    <t>ヒガ キクコ</t>
  </si>
  <si>
    <t>若林 伸二</t>
  </si>
  <si>
    <t>ワカバヤシ シンジ</t>
  </si>
  <si>
    <t>藤川 房実</t>
  </si>
  <si>
    <t>フジカワ フサミ</t>
  </si>
  <si>
    <t>新田 直紀</t>
  </si>
  <si>
    <t>ニイタ ナオキ</t>
  </si>
  <si>
    <t>中谷 和広</t>
  </si>
  <si>
    <t>ナカタニ カズヒロ</t>
  </si>
  <si>
    <t>藤野 俊憲</t>
  </si>
  <si>
    <t>フジノ トシノリ</t>
  </si>
  <si>
    <t>中本 愛作</t>
  </si>
  <si>
    <t>ナカモト アイサク</t>
  </si>
  <si>
    <t>堀 静市</t>
  </si>
  <si>
    <t>ホリ セイイチ</t>
  </si>
  <si>
    <t>大塚 多佳司</t>
  </si>
  <si>
    <t>オオツカ タカシ</t>
  </si>
  <si>
    <t>中村 理香</t>
  </si>
  <si>
    <t>ナカムラ リカ</t>
  </si>
  <si>
    <t>出口 美海</t>
  </si>
  <si>
    <t>デグチ ヨシミ</t>
  </si>
  <si>
    <t>窪田 有紀子</t>
  </si>
  <si>
    <t>クボタ ユキコ</t>
  </si>
  <si>
    <t>落合 久仁夫</t>
  </si>
  <si>
    <t>オチアイ クニオ</t>
  </si>
  <si>
    <t>小林 孝秀</t>
  </si>
  <si>
    <t>コバヤシ タカヒデ</t>
  </si>
  <si>
    <t>田中 太郎</t>
    <rPh sb="3" eb="5">
      <t>タロウ</t>
    </rPh>
    <phoneticPr fontId="3"/>
  </si>
  <si>
    <t>タナカ タロウ</t>
    <phoneticPr fontId="3"/>
  </si>
  <si>
    <t>&lt;完成イメージ&gt;</t>
    <rPh sb="1" eb="3">
      <t>カンセイ</t>
    </rPh>
    <phoneticPr fontId="3"/>
  </si>
  <si>
    <t>&lt;Hint&gt;</t>
    <phoneticPr fontId="3"/>
  </si>
  <si>
    <t>4-2.グラフに軸ラベルを表示させ、X軸は「単価」Y軸は「品目」と入力しなさい。</t>
    <rPh sb="8" eb="9">
      <t>ジク</t>
    </rPh>
    <rPh sb="13" eb="15">
      <t>ヒョウジ</t>
    </rPh>
    <rPh sb="19" eb="20">
      <t>ジク</t>
    </rPh>
    <rPh sb="22" eb="24">
      <t>タンカ</t>
    </rPh>
    <rPh sb="26" eb="27">
      <t>ジク</t>
    </rPh>
    <rPh sb="29" eb="31">
      <t>ヒンモク</t>
    </rPh>
    <rPh sb="33" eb="35">
      <t>ニュウリョク</t>
    </rPh>
    <phoneticPr fontId="3"/>
  </si>
  <si>
    <t>4-3.X軸の最大値を100に設定しなさい。</t>
    <rPh sb="5" eb="6">
      <t>ジク</t>
    </rPh>
    <rPh sb="7" eb="10">
      <t>サイダイチ</t>
    </rPh>
    <rPh sb="15" eb="17">
      <t>セッテイ</t>
    </rPh>
    <phoneticPr fontId="3"/>
  </si>
  <si>
    <t>4-4.グラフデータに単価のデータを追加しなさい。</t>
    <rPh sb="11" eb="13">
      <t>タンカ</t>
    </rPh>
    <rPh sb="18" eb="20">
      <t>ツイカ</t>
    </rPh>
    <phoneticPr fontId="3"/>
  </si>
  <si>
    <t>4-5.追加した「単価」のデータを第2軸に設定しなさい。</t>
    <rPh sb="4" eb="6">
      <t>ツイカ</t>
    </rPh>
    <rPh sb="9" eb="11">
      <t>タンカ</t>
    </rPh>
    <rPh sb="17" eb="18">
      <t>ダイ</t>
    </rPh>
    <rPh sb="19" eb="20">
      <t>ジク</t>
    </rPh>
    <rPh sb="21" eb="23">
      <t>セッテイ</t>
    </rPh>
    <phoneticPr fontId="3"/>
  </si>
  <si>
    <t>4-6.第2軸に設定した単価のグラフの種類を「折れ線グラフ」に変更しなさい。</t>
    <rPh sb="4" eb="5">
      <t>ダイ</t>
    </rPh>
    <rPh sb="6" eb="7">
      <t>ジク</t>
    </rPh>
    <rPh sb="8" eb="10">
      <t>セッテイ</t>
    </rPh>
    <rPh sb="12" eb="14">
      <t>タンカ</t>
    </rPh>
    <rPh sb="19" eb="21">
      <t>シュルイ</t>
    </rPh>
    <rPh sb="23" eb="24">
      <t>オ</t>
    </rPh>
    <rPh sb="25" eb="26">
      <t>セン</t>
    </rPh>
    <rPh sb="31" eb="33">
      <t>ヘンコウ</t>
    </rPh>
    <phoneticPr fontId="3"/>
  </si>
  <si>
    <t>合計</t>
    <rPh sb="0" eb="2">
      <t>ゴウケイ</t>
    </rPh>
    <phoneticPr fontId="3"/>
  </si>
  <si>
    <t>平均</t>
    <rPh sb="0" eb="2">
      <t>ヘイキン</t>
    </rPh>
    <phoneticPr fontId="3"/>
  </si>
  <si>
    <t>最大</t>
    <rPh sb="0" eb="2">
      <t>サイダイ</t>
    </rPh>
    <phoneticPr fontId="3"/>
  </si>
  <si>
    <t>最小</t>
    <rPh sb="0" eb="2">
      <t>サイショウ</t>
    </rPh>
    <phoneticPr fontId="3"/>
  </si>
  <si>
    <t>元号</t>
    <rPh sb="0" eb="2">
      <t>ゲンゴウ</t>
    </rPh>
    <phoneticPr fontId="3"/>
  </si>
  <si>
    <t>5-1.セルB7に販売数の合計を求めてください。(関数を使用)</t>
    <rPh sb="9" eb="11">
      <t>ハンバイ</t>
    </rPh>
    <rPh sb="11" eb="12">
      <t>スウ</t>
    </rPh>
    <rPh sb="13" eb="15">
      <t>ゴウケイ</t>
    </rPh>
    <rPh sb="16" eb="17">
      <t>モト</t>
    </rPh>
    <rPh sb="25" eb="27">
      <t>カンスウ</t>
    </rPh>
    <rPh sb="28" eb="30">
      <t>シヨウ</t>
    </rPh>
    <phoneticPr fontId="3"/>
  </si>
  <si>
    <t>5-2.セルC7に単価の合計を求めてください。(関数を使用)</t>
    <rPh sb="9" eb="11">
      <t>タンカ</t>
    </rPh>
    <rPh sb="12" eb="14">
      <t>ゴウケイ</t>
    </rPh>
    <rPh sb="15" eb="16">
      <t>モト</t>
    </rPh>
    <rPh sb="24" eb="26">
      <t>カンスウ</t>
    </rPh>
    <rPh sb="27" eb="29">
      <t>シヨウ</t>
    </rPh>
    <phoneticPr fontId="3"/>
  </si>
  <si>
    <t>5-3.セルB8に販売数の平均を求めてください。(関数を使用)</t>
    <rPh sb="9" eb="11">
      <t>ハンバイ</t>
    </rPh>
    <rPh sb="11" eb="12">
      <t>スウ</t>
    </rPh>
    <rPh sb="13" eb="15">
      <t>ヘイキン</t>
    </rPh>
    <rPh sb="16" eb="17">
      <t>モト</t>
    </rPh>
    <rPh sb="25" eb="27">
      <t>カンスウ</t>
    </rPh>
    <rPh sb="28" eb="30">
      <t>シヨウ</t>
    </rPh>
    <phoneticPr fontId="3"/>
  </si>
  <si>
    <t>5-4.セルC8に単価の平均を求めてください。(関数を使用)</t>
    <rPh sb="9" eb="11">
      <t>タンカ</t>
    </rPh>
    <rPh sb="12" eb="14">
      <t>ヘイキン</t>
    </rPh>
    <rPh sb="15" eb="16">
      <t>モト</t>
    </rPh>
    <rPh sb="24" eb="26">
      <t>カンスウ</t>
    </rPh>
    <rPh sb="27" eb="29">
      <t>シヨウ</t>
    </rPh>
    <phoneticPr fontId="3"/>
  </si>
  <si>
    <t>5-5.セルB9に販売数の最大値を求めてください。(関数を使用)</t>
    <rPh sb="9" eb="11">
      <t>ハンバイ</t>
    </rPh>
    <rPh sb="11" eb="12">
      <t>スウ</t>
    </rPh>
    <rPh sb="13" eb="16">
      <t>サイダイチ</t>
    </rPh>
    <rPh sb="17" eb="18">
      <t>モト</t>
    </rPh>
    <rPh sb="26" eb="28">
      <t>カンスウ</t>
    </rPh>
    <rPh sb="29" eb="31">
      <t>シヨウ</t>
    </rPh>
    <phoneticPr fontId="3"/>
  </si>
  <si>
    <t>5-6.セルC9に単価の最大値を求めてください。(関数を使用)</t>
    <rPh sb="9" eb="11">
      <t>タンカ</t>
    </rPh>
    <rPh sb="12" eb="15">
      <t>サイダイチ</t>
    </rPh>
    <rPh sb="16" eb="17">
      <t>モト</t>
    </rPh>
    <rPh sb="25" eb="27">
      <t>カンスウ</t>
    </rPh>
    <rPh sb="28" eb="30">
      <t>シヨウ</t>
    </rPh>
    <phoneticPr fontId="3"/>
  </si>
  <si>
    <t>5-7.セルB9に販売数の最小値を求めてください。(関数を使用)</t>
    <rPh sb="9" eb="11">
      <t>ハンバイ</t>
    </rPh>
    <rPh sb="11" eb="12">
      <t>スウ</t>
    </rPh>
    <rPh sb="13" eb="16">
      <t>サイショウチ</t>
    </rPh>
    <rPh sb="17" eb="18">
      <t>モト</t>
    </rPh>
    <rPh sb="26" eb="28">
      <t>カンスウ</t>
    </rPh>
    <rPh sb="29" eb="31">
      <t>シヨウ</t>
    </rPh>
    <phoneticPr fontId="3"/>
  </si>
  <si>
    <t>5-8.セルC9に単価の最小値を求めてください。(関数を使用)</t>
    <rPh sb="9" eb="11">
      <t>タンカ</t>
    </rPh>
    <rPh sb="12" eb="15">
      <t>サイショウチ</t>
    </rPh>
    <rPh sb="16" eb="17">
      <t>モト</t>
    </rPh>
    <rPh sb="25" eb="27">
      <t>カンスウ</t>
    </rPh>
    <rPh sb="28" eb="30">
      <t>シヨウ</t>
    </rPh>
    <phoneticPr fontId="3"/>
  </si>
  <si>
    <t>4-1.販売数をX軸、品目をY軸とした集合横棒グラフを作成しなさい。（目盛りの最大値・間隔は問わない）</t>
    <rPh sb="4" eb="6">
      <t>ハンバイ</t>
    </rPh>
    <rPh sb="6" eb="7">
      <t>スウ</t>
    </rPh>
    <rPh sb="9" eb="10">
      <t>ジク</t>
    </rPh>
    <rPh sb="11" eb="13">
      <t>ヒンモク</t>
    </rPh>
    <rPh sb="15" eb="16">
      <t>ジク</t>
    </rPh>
    <rPh sb="19" eb="21">
      <t>シュウゴウ</t>
    </rPh>
    <rPh sb="21" eb="23">
      <t>ヨコボウ</t>
    </rPh>
    <rPh sb="27" eb="29">
      <t>サクセイ</t>
    </rPh>
    <rPh sb="35" eb="37">
      <t>メモ</t>
    </rPh>
    <rPh sb="39" eb="42">
      <t>サイダイチ</t>
    </rPh>
    <rPh sb="43" eb="45">
      <t>カンカク</t>
    </rPh>
    <rPh sb="46" eb="47">
      <t>ト</t>
    </rPh>
    <phoneticPr fontId="3"/>
  </si>
  <si>
    <t>◆関数の練習◆P.27～P.37</t>
    <rPh sb="1" eb="3">
      <t>カンスウ</t>
    </rPh>
    <phoneticPr fontId="3"/>
  </si>
  <si>
    <t>◆グラフ作成の練習◆P.14～P.26</t>
    <rPh sb="4" eb="6">
      <t>サクセイ</t>
    </rPh>
    <phoneticPr fontId="3"/>
  </si>
  <si>
    <t>◆条件付き書式の練習◆P.14～P.20</t>
  </si>
  <si>
    <t>◆絶対参照/相対参照の練習◆P.12～P.13</t>
  </si>
  <si>
    <t>2-2.セルA11に、セルA2の内容を相対参照で反映させなさい。その後、セルA15まで内容をコピーしなさい。</t>
  </si>
  <si>
    <t>2-3.セルB11に、セルB2の内容を相対参照で反映させなさい。その後、セルB15まで内容をコピーしなさい。</t>
  </si>
  <si>
    <t>◆入力規則の練習◆P.4～P.11</t>
  </si>
  <si>
    <t>1-1.「フリガナ」列(B列)を選択した際、カタカナ入力になるよう入力規則を設定しなさい。</t>
  </si>
  <si>
    <t>1-2.「時間」、「個数」列(C,D列)を選択した際、半角英数字入力になるよう入力規則を設定しなさい。</t>
  </si>
  <si>
    <t>1-3.「時間」列(C列)を選択した際、9:00～18:00以外の値を入力できないよう入力規則を設定しなさい。</t>
  </si>
  <si>
    <t>1-4.「個数」列(D列)を選択した際、31以上の値を入力できないよう入力規則を設定しなさい。</t>
  </si>
  <si>
    <t>1-5.「合否」列(E列)を選択した際、"〇"か"×"をリストから選択して入力させるよう入力規則を設定しなさい。</t>
  </si>
  <si>
    <t>平成の始まり</t>
    <rPh sb="0" eb="2">
      <t>ヘイセイ</t>
    </rPh>
    <rPh sb="3" eb="4">
      <t>ハジ</t>
    </rPh>
    <phoneticPr fontId="3"/>
  </si>
  <si>
    <t>製品名</t>
    <rPh sb="0" eb="3">
      <t>セイヒンメイ</t>
    </rPh>
    <phoneticPr fontId="3"/>
  </si>
  <si>
    <t>生産数</t>
    <rPh sb="0" eb="2">
      <t>セイサン</t>
    </rPh>
    <rPh sb="2" eb="3">
      <t>スウ</t>
    </rPh>
    <phoneticPr fontId="3"/>
  </si>
  <si>
    <t>不良数</t>
    <rPh sb="0" eb="2">
      <t>フリョウ</t>
    </rPh>
    <rPh sb="2" eb="3">
      <t>スウ</t>
    </rPh>
    <phoneticPr fontId="3"/>
  </si>
  <si>
    <t>不良率</t>
    <rPh sb="0" eb="2">
      <t>フリョウ</t>
    </rPh>
    <rPh sb="2" eb="3">
      <t>リツ</t>
    </rPh>
    <phoneticPr fontId="3"/>
  </si>
  <si>
    <t>判定</t>
    <rPh sb="0" eb="2">
      <t>ハンテイ</t>
    </rPh>
    <phoneticPr fontId="3"/>
  </si>
  <si>
    <t>特記</t>
    <rPh sb="0" eb="2">
      <t>トッキ</t>
    </rPh>
    <phoneticPr fontId="3"/>
  </si>
  <si>
    <t>製品A</t>
    <rPh sb="0" eb="2">
      <t>セイヒン</t>
    </rPh>
    <phoneticPr fontId="3"/>
  </si>
  <si>
    <t>製品B</t>
    <rPh sb="0" eb="2">
      <t>セイヒン</t>
    </rPh>
    <phoneticPr fontId="3"/>
  </si>
  <si>
    <t>製品C</t>
    <rPh sb="0" eb="2">
      <t>セイヒン</t>
    </rPh>
    <phoneticPr fontId="3"/>
  </si>
  <si>
    <t>製品D</t>
    <rPh sb="0" eb="2">
      <t>セイヒン</t>
    </rPh>
    <phoneticPr fontId="3"/>
  </si>
  <si>
    <t>製品E</t>
    <rPh sb="0" eb="2">
      <t>セイヒン</t>
    </rPh>
    <phoneticPr fontId="3"/>
  </si>
  <si>
    <t>製品F</t>
    <rPh sb="0" eb="2">
      <t>セイヒン</t>
    </rPh>
    <phoneticPr fontId="3"/>
  </si>
  <si>
    <t>製品G</t>
    <rPh sb="0" eb="2">
      <t>セイヒン</t>
    </rPh>
    <phoneticPr fontId="3"/>
  </si>
  <si>
    <t>製品H</t>
    <rPh sb="0" eb="2">
      <t>セイヒン</t>
    </rPh>
    <phoneticPr fontId="3"/>
  </si>
  <si>
    <t>製品I</t>
    <rPh sb="0" eb="2">
      <t>セイヒン</t>
    </rPh>
    <phoneticPr fontId="3"/>
  </si>
  <si>
    <t>製品J</t>
    <rPh sb="0" eb="2">
      <t>セイヒン</t>
    </rPh>
    <phoneticPr fontId="3"/>
  </si>
  <si>
    <t>※「良」「並」のときは何も表示しない</t>
    <rPh sb="2" eb="3">
      <t>リョウ</t>
    </rPh>
    <rPh sb="5" eb="6">
      <t>ナミ</t>
    </rPh>
    <rPh sb="11" eb="12">
      <t>ナニ</t>
    </rPh>
    <rPh sb="13" eb="15">
      <t>ヒョウジ</t>
    </rPh>
    <phoneticPr fontId="3"/>
  </si>
  <si>
    <t>商品コード</t>
    <rPh sb="0" eb="2">
      <t>ショウヒン</t>
    </rPh>
    <phoneticPr fontId="3"/>
  </si>
  <si>
    <t>税込価格</t>
    <rPh sb="0" eb="2">
      <t>ゼイコミ</t>
    </rPh>
    <rPh sb="2" eb="4">
      <t>カカク</t>
    </rPh>
    <phoneticPr fontId="3"/>
  </si>
  <si>
    <t>月別販売数</t>
    <rPh sb="0" eb="2">
      <t>ツキベツ</t>
    </rPh>
    <rPh sb="2" eb="4">
      <t>ハンバイ</t>
    </rPh>
    <rPh sb="4" eb="5">
      <t>スウ</t>
    </rPh>
    <phoneticPr fontId="3"/>
  </si>
  <si>
    <t>四半期
販売数</t>
    <rPh sb="0" eb="1">
      <t>シ</t>
    </rPh>
    <rPh sb="1" eb="3">
      <t>ハンキ</t>
    </rPh>
    <rPh sb="4" eb="6">
      <t>ハンバイ</t>
    </rPh>
    <rPh sb="6" eb="7">
      <t>スウ</t>
    </rPh>
    <phoneticPr fontId="3"/>
  </si>
  <si>
    <t>月平均
販売数</t>
    <rPh sb="0" eb="1">
      <t>ツキ</t>
    </rPh>
    <rPh sb="1" eb="3">
      <t>ヘイキン</t>
    </rPh>
    <rPh sb="4" eb="6">
      <t>ハンバイ</t>
    </rPh>
    <rPh sb="6" eb="7">
      <t>コスウ</t>
    </rPh>
    <phoneticPr fontId="3"/>
  </si>
  <si>
    <t>四半期売上高</t>
    <rPh sb="0" eb="1">
      <t>シ</t>
    </rPh>
    <rPh sb="1" eb="3">
      <t>ハンキ</t>
    </rPh>
    <rPh sb="3" eb="5">
      <t>ウリア</t>
    </rPh>
    <rPh sb="5" eb="6">
      <t>ダカ</t>
    </rPh>
    <phoneticPr fontId="3"/>
  </si>
  <si>
    <t>前年実績</t>
    <rPh sb="0" eb="2">
      <t>ゼンネン</t>
    </rPh>
    <rPh sb="2" eb="4">
      <t>ジッセキ</t>
    </rPh>
    <phoneticPr fontId="3"/>
  </si>
  <si>
    <t>前年比</t>
    <rPh sb="0" eb="3">
      <t>ゼンネンヒ</t>
    </rPh>
    <phoneticPr fontId="3"/>
  </si>
  <si>
    <t>売上
構成比</t>
    <rPh sb="0" eb="2">
      <t>ウリアゲ</t>
    </rPh>
    <rPh sb="3" eb="6">
      <t>コウセイヒ</t>
    </rPh>
    <phoneticPr fontId="3"/>
  </si>
  <si>
    <t>4月</t>
    <rPh sb="1" eb="2">
      <t>ガツ</t>
    </rPh>
    <phoneticPr fontId="3"/>
  </si>
  <si>
    <t>5月</t>
    <rPh sb="1" eb="2">
      <t>ガツ</t>
    </rPh>
    <phoneticPr fontId="3"/>
  </si>
  <si>
    <t>6月</t>
    <rPh sb="1" eb="2">
      <t>ガツ</t>
    </rPh>
    <phoneticPr fontId="3"/>
  </si>
  <si>
    <t>売上高</t>
    <rPh sb="0" eb="2">
      <t>ウリアゲ</t>
    </rPh>
    <rPh sb="2" eb="3">
      <t>ダカ</t>
    </rPh>
    <phoneticPr fontId="3"/>
  </si>
  <si>
    <t>税抜売上高</t>
    <rPh sb="0" eb="1">
      <t>ゼイ</t>
    </rPh>
    <rPh sb="1" eb="2">
      <t>ヌ</t>
    </rPh>
    <rPh sb="2" eb="4">
      <t>ウリアゲ</t>
    </rPh>
    <rPh sb="4" eb="5">
      <t>ダカ</t>
    </rPh>
    <phoneticPr fontId="3"/>
  </si>
  <si>
    <t>A-001</t>
    <phoneticPr fontId="3"/>
  </si>
  <si>
    <t>A-002</t>
  </si>
  <si>
    <t>A-003</t>
  </si>
  <si>
    <t>A-004</t>
  </si>
  <si>
    <t>A-005</t>
  </si>
  <si>
    <t>A-006</t>
  </si>
  <si>
    <t>A-007</t>
  </si>
  <si>
    <t>A-008</t>
  </si>
  <si>
    <t>A-009</t>
  </si>
  <si>
    <t>A-010</t>
  </si>
  <si>
    <t>消費税率</t>
    <rPh sb="0" eb="3">
      <t>ショウヒゼイ</t>
    </rPh>
    <rPh sb="3" eb="4">
      <t>リツ</t>
    </rPh>
    <phoneticPr fontId="3"/>
  </si>
  <si>
    <t>税込み価格</t>
    <rPh sb="0" eb="2">
      <t>ゼイコ</t>
    </rPh>
    <rPh sb="3" eb="5">
      <t>カカク</t>
    </rPh>
    <phoneticPr fontId="3"/>
  </si>
  <si>
    <t>A-001</t>
    <phoneticPr fontId="3"/>
  </si>
  <si>
    <t>集計表</t>
    <rPh sb="0" eb="3">
      <t>シュウケイヒョウ</t>
    </rPh>
    <phoneticPr fontId="3"/>
  </si>
  <si>
    <t>B列にある税込み価格価格を表示させない</t>
  </si>
  <si>
    <t>F列にある四半期販売数を表示させない</t>
    <rPh sb="5" eb="8">
      <t>シハンキ</t>
    </rPh>
    <rPh sb="8" eb="10">
      <t>ハンバイ</t>
    </rPh>
    <rPh sb="10" eb="11">
      <t>スウ</t>
    </rPh>
    <phoneticPr fontId="3"/>
  </si>
  <si>
    <t>No.</t>
    <phoneticPr fontId="3"/>
  </si>
  <si>
    <t>No.</t>
    <phoneticPr fontId="3"/>
  </si>
  <si>
    <t>名前</t>
    <rPh sb="0" eb="2">
      <t>ナマエ</t>
    </rPh>
    <phoneticPr fontId="3"/>
  </si>
  <si>
    <t>フリガナ</t>
    <phoneticPr fontId="3"/>
  </si>
  <si>
    <t>該当する名前とふりがなを表示させなさい</t>
    <rPh sb="0" eb="2">
      <t>ガイトウ</t>
    </rPh>
    <rPh sb="4" eb="6">
      <t>ナマエ</t>
    </rPh>
    <rPh sb="12" eb="14">
      <t>ヒョウジ</t>
    </rPh>
    <phoneticPr fontId="3"/>
  </si>
  <si>
    <t>A-006</t>
    <phoneticPr fontId="3"/>
  </si>
  <si>
    <t>四半期販売数</t>
    <rPh sb="0" eb="1">
      <t>シ</t>
    </rPh>
    <rPh sb="1" eb="3">
      <t>ハンキ</t>
    </rPh>
    <rPh sb="3" eb="5">
      <t>ハンバイ</t>
    </rPh>
    <rPh sb="5" eb="6">
      <t>スウ</t>
    </rPh>
    <phoneticPr fontId="3"/>
  </si>
  <si>
    <t>8行目にある四半期販売数を表示させない</t>
    <rPh sb="1" eb="3">
      <t>ギョウメ</t>
    </rPh>
    <rPh sb="6" eb="9">
      <t>シハンキ</t>
    </rPh>
    <rPh sb="9" eb="11">
      <t>ハンバイ</t>
    </rPh>
    <rPh sb="11" eb="12">
      <t>スウ</t>
    </rPh>
    <phoneticPr fontId="3"/>
  </si>
  <si>
    <t>行番号</t>
    <rPh sb="0" eb="3">
      <t>ギョウバンゴウ</t>
    </rPh>
    <phoneticPr fontId="3"/>
  </si>
  <si>
    <t>列番号</t>
    <rPh sb="0" eb="3">
      <t>レツバンゴウ</t>
    </rPh>
    <phoneticPr fontId="3"/>
  </si>
  <si>
    <t>値</t>
    <rPh sb="0" eb="1">
      <t>アタイ</t>
    </rPh>
    <phoneticPr fontId="3"/>
  </si>
  <si>
    <t>値を表示させなさい</t>
    <rPh sb="0" eb="1">
      <t>アタイ</t>
    </rPh>
    <rPh sb="2" eb="4">
      <t>ヒョウジ</t>
    </rPh>
    <phoneticPr fontId="3"/>
  </si>
  <si>
    <t>データ行</t>
    <rPh sb="3" eb="4">
      <t>ギョウ</t>
    </rPh>
    <phoneticPr fontId="3"/>
  </si>
  <si>
    <t>行目</t>
    <rPh sb="0" eb="2">
      <t>ギョウメ</t>
    </rPh>
    <phoneticPr fontId="3"/>
  </si>
  <si>
    <t>A-003</t>
    <phoneticPr fontId="3"/>
  </si>
  <si>
    <t>5-17.セルG12に対して、集計表からセルG11に入力されている商品コードを探し</t>
    <rPh sb="11" eb="12">
      <t>タイ</t>
    </rPh>
    <rPh sb="15" eb="18">
      <t>シュウケイヒョウ</t>
    </rPh>
    <rPh sb="26" eb="28">
      <t>ニュウリョク</t>
    </rPh>
    <rPh sb="33" eb="35">
      <t>ショウヒン</t>
    </rPh>
    <rPh sb="39" eb="40">
      <t>サガ</t>
    </rPh>
    <phoneticPr fontId="3"/>
  </si>
  <si>
    <t>データが何行目にあるか表示させなさい。</t>
    <rPh sb="4" eb="7">
      <t>ナンギョウメ</t>
    </rPh>
    <rPh sb="11" eb="13">
      <t>ヒョウジ</t>
    </rPh>
    <phoneticPr fontId="3"/>
  </si>
  <si>
    <t>りんご</t>
    <phoneticPr fontId="3"/>
  </si>
  <si>
    <t>みかん</t>
    <phoneticPr fontId="3"/>
  </si>
  <si>
    <t>バナナ</t>
    <phoneticPr fontId="3"/>
  </si>
  <si>
    <t>いちご</t>
    <phoneticPr fontId="3"/>
  </si>
  <si>
    <t>キウイ</t>
    <phoneticPr fontId="3"/>
  </si>
  <si>
    <t>店舗名</t>
    <rPh sb="0" eb="2">
      <t>テンポ</t>
    </rPh>
    <rPh sb="2" eb="3">
      <t>メイ</t>
    </rPh>
    <phoneticPr fontId="3"/>
  </si>
  <si>
    <t>販売リスト</t>
    <rPh sb="0" eb="2">
      <t>ハンバイ</t>
    </rPh>
    <phoneticPr fontId="3"/>
  </si>
  <si>
    <t>店舗名と同じ行にある品目を表示させなさい。</t>
    <rPh sb="0" eb="2">
      <t>テンポ</t>
    </rPh>
    <rPh sb="2" eb="3">
      <t>メイ</t>
    </rPh>
    <rPh sb="4" eb="5">
      <t>オナ</t>
    </rPh>
    <rPh sb="6" eb="7">
      <t>ギョウ</t>
    </rPh>
    <rPh sb="10" eb="12">
      <t>ヒンモク</t>
    </rPh>
    <rPh sb="13" eb="15">
      <t>ヒョウジ</t>
    </rPh>
    <phoneticPr fontId="3"/>
  </si>
  <si>
    <t>鹿児島</t>
  </si>
  <si>
    <t>鹿児島北</t>
  </si>
  <si>
    <t>薩摩吉田</t>
  </si>
  <si>
    <t>姶良</t>
  </si>
  <si>
    <t>加治木</t>
  </si>
  <si>
    <t>溝辺鹿児島空港</t>
  </si>
  <si>
    <t>-</t>
  </si>
  <si>
    <t>料金</t>
  </si>
  <si>
    <t>出発IC</t>
  </si>
  <si>
    <t>到着IC</t>
  </si>
  <si>
    <t>薩摩吉田</t>
    <rPh sb="0" eb="2">
      <t>サツマ</t>
    </rPh>
    <rPh sb="2" eb="4">
      <t>ヨシダ</t>
    </rPh>
    <phoneticPr fontId="3"/>
  </si>
  <si>
    <t>九九表</t>
    <rPh sb="0" eb="2">
      <t>クク</t>
    </rPh>
    <rPh sb="2" eb="3">
      <t>ヒョウ</t>
    </rPh>
    <phoneticPr fontId="3"/>
  </si>
  <si>
    <t>＝</t>
    <phoneticPr fontId="3"/>
  </si>
  <si>
    <t>×</t>
    <phoneticPr fontId="3"/>
  </si>
  <si>
    <t>5-19.セルP5に対し、九九表を使い、セルL5、N5に数値が入力された時に掛け算されるようにしなさい</t>
    <rPh sb="10" eb="11">
      <t>タイ</t>
    </rPh>
    <rPh sb="13" eb="15">
      <t>クク</t>
    </rPh>
    <rPh sb="15" eb="16">
      <t>ヒョウ</t>
    </rPh>
    <rPh sb="17" eb="18">
      <t>ツカ</t>
    </rPh>
    <rPh sb="28" eb="30">
      <t>スウチ</t>
    </rPh>
    <rPh sb="31" eb="33">
      <t>ニュウリョク</t>
    </rPh>
    <rPh sb="36" eb="37">
      <t>トキ</t>
    </rPh>
    <rPh sb="38" eb="39">
      <t>カ</t>
    </rPh>
    <rPh sb="40" eb="41">
      <t>ザン</t>
    </rPh>
    <phoneticPr fontId="3"/>
  </si>
  <si>
    <t>5-20.セルB12に対して、セルB10の出発ICとB11の到着ICから料金を求め、表示させなさい。</t>
    <rPh sb="11" eb="12">
      <t>タイ</t>
    </rPh>
    <rPh sb="21" eb="23">
      <t>シュッパツ</t>
    </rPh>
    <rPh sb="30" eb="32">
      <t>トウチャク</t>
    </rPh>
    <rPh sb="36" eb="38">
      <t>リョウキン</t>
    </rPh>
    <rPh sb="39" eb="40">
      <t>モト</t>
    </rPh>
    <rPh sb="42" eb="44">
      <t>ヒョウジ</t>
    </rPh>
    <phoneticPr fontId="3"/>
  </si>
  <si>
    <t>5-18.セルG6に対して、販売リストからセルG5に入力されている店舗名を探し</t>
    <rPh sb="10" eb="11">
      <t>タイ</t>
    </rPh>
    <rPh sb="14" eb="16">
      <t>ハンバイ</t>
    </rPh>
    <rPh sb="26" eb="28">
      <t>ニュウリョク</t>
    </rPh>
    <rPh sb="33" eb="35">
      <t>テンポ</t>
    </rPh>
    <rPh sb="35" eb="36">
      <t>メイ</t>
    </rPh>
    <rPh sb="37" eb="38">
      <t>サガ</t>
    </rPh>
    <phoneticPr fontId="3"/>
  </si>
  <si>
    <t>名簿リスト</t>
    <rPh sb="0" eb="2">
      <t>メイボ</t>
    </rPh>
    <phoneticPr fontId="3"/>
  </si>
  <si>
    <t>製品リスト</t>
    <rPh sb="0" eb="2">
      <t>セイヒン</t>
    </rPh>
    <phoneticPr fontId="3"/>
  </si>
  <si>
    <t>※判定条件の設定については、セルG8の日付を活用する</t>
    <rPh sb="1" eb="3">
      <t>ハンテイ</t>
    </rPh>
    <rPh sb="3" eb="5">
      <t>ジョウケン</t>
    </rPh>
    <rPh sb="6" eb="8">
      <t>セッテイ</t>
    </rPh>
    <rPh sb="19" eb="21">
      <t>ヒヅケ</t>
    </rPh>
    <rPh sb="22" eb="24">
      <t>カツヨウ</t>
    </rPh>
    <phoneticPr fontId="3"/>
  </si>
  <si>
    <t>5-9.E列に、生年月日が昭和だったら"昭和"、平成だったら"平成"と表示されるようにしなさい。</t>
    <rPh sb="5" eb="6">
      <t>レツ</t>
    </rPh>
    <rPh sb="8" eb="10">
      <t>セイネン</t>
    </rPh>
    <rPh sb="10" eb="12">
      <t>ガッピ</t>
    </rPh>
    <rPh sb="13" eb="15">
      <t>ショウワ</t>
    </rPh>
    <rPh sb="20" eb="22">
      <t>ショウワ</t>
    </rPh>
    <rPh sb="24" eb="26">
      <t>ヘイセイ</t>
    </rPh>
    <rPh sb="31" eb="33">
      <t>ヘイセイ</t>
    </rPh>
    <rPh sb="35" eb="37">
      <t>ヒョウジ</t>
    </rPh>
    <phoneticPr fontId="3"/>
  </si>
  <si>
    <t>5-10.E列の判定が「悪」だったら、F列に「改善」と表示されるようにしなさい。</t>
    <rPh sb="6" eb="7">
      <t>レツ</t>
    </rPh>
    <rPh sb="8" eb="10">
      <t>ハンテイ</t>
    </rPh>
    <rPh sb="12" eb="13">
      <t>アク</t>
    </rPh>
    <rPh sb="20" eb="21">
      <t>レツ</t>
    </rPh>
    <rPh sb="23" eb="25">
      <t>カイゼン</t>
    </rPh>
    <rPh sb="27" eb="29">
      <t>ヒョウジ</t>
    </rPh>
    <phoneticPr fontId="3"/>
  </si>
  <si>
    <t>5-11.セルP6に対して、セルP5に入力されている商品コードを集計表から検索し、</t>
    <rPh sb="10" eb="11">
      <t>タイ</t>
    </rPh>
    <rPh sb="19" eb="21">
      <t>ニュウリョク</t>
    </rPh>
    <rPh sb="26" eb="28">
      <t>ショウヒン</t>
    </rPh>
    <rPh sb="32" eb="35">
      <t>シュウケイヒョウ</t>
    </rPh>
    <rPh sb="37" eb="39">
      <t>ケンサク</t>
    </rPh>
    <phoneticPr fontId="3"/>
  </si>
  <si>
    <t>5-12.セルP11に対して、セルP10に入力されている商品コードを集計表から検索し、</t>
    <rPh sb="11" eb="12">
      <t>タイ</t>
    </rPh>
    <rPh sb="21" eb="23">
      <t>ニュウリョク</t>
    </rPh>
    <rPh sb="28" eb="30">
      <t>ショウヒン</t>
    </rPh>
    <rPh sb="34" eb="37">
      <t>シュウケイヒョウ</t>
    </rPh>
    <rPh sb="39" eb="41">
      <t>ケンサク</t>
    </rPh>
    <phoneticPr fontId="3"/>
  </si>
  <si>
    <t>5-13.セルI6、I7に対し、セルI5のNo.を名簿リストから検索し、</t>
    <rPh sb="13" eb="14">
      <t>タイ</t>
    </rPh>
    <rPh sb="25" eb="27">
      <t>メイボ</t>
    </rPh>
    <rPh sb="32" eb="34">
      <t>ケンサク</t>
    </rPh>
    <phoneticPr fontId="3"/>
  </si>
  <si>
    <t>5-14.セルC20に対して、セルC19に入力されている商品コードを集計表から検索し、</t>
    <rPh sb="11" eb="12">
      <t>タイ</t>
    </rPh>
    <rPh sb="21" eb="23">
      <t>ニュウリョク</t>
    </rPh>
    <rPh sb="28" eb="30">
      <t>ショウヒン</t>
    </rPh>
    <rPh sb="34" eb="37">
      <t>シュウケイヒョウ</t>
    </rPh>
    <rPh sb="39" eb="41">
      <t>ケンサク</t>
    </rPh>
    <phoneticPr fontId="3"/>
  </si>
  <si>
    <t>5-15.セルP25に対して、セルP24に入力されている商品コードを集計表から検索し、</t>
    <rPh sb="11" eb="12">
      <t>タイ</t>
    </rPh>
    <rPh sb="21" eb="23">
      <t>ニュウリョク</t>
    </rPh>
    <rPh sb="28" eb="30">
      <t>ショウヒン</t>
    </rPh>
    <rPh sb="34" eb="37">
      <t>シュウケイヒョウ</t>
    </rPh>
    <rPh sb="39" eb="41">
      <t>ケンサク</t>
    </rPh>
    <phoneticPr fontId="3"/>
  </si>
  <si>
    <t>2-1.セルA10に、セルA1の内容を相対参照で反映させなさい。その後、セルD10まで内容をコピーしなさい。</t>
    <phoneticPr fontId="3"/>
  </si>
  <si>
    <t>2-4.セルC11に、セルC2の内容を絶対参照で反映させなさい。その後、セルC15まで内容をコピーしなさい。</t>
    <phoneticPr fontId="3"/>
  </si>
  <si>
    <t>3-1.名前(B列)が重複していた場合、該当のセルを赤色で塗りつぶす条件付き書式を設定しなさい。</t>
    <rPh sb="8" eb="9">
      <t>レツ</t>
    </rPh>
    <rPh sb="20" eb="22">
      <t>ガイトウ</t>
    </rPh>
    <phoneticPr fontId="3"/>
  </si>
  <si>
    <t>3-6.生年月日(F列)が「1990年1月1日以降」だった場合、セルを青色で塗りつぶす条件付き書式を設定しなさい。</t>
    <rPh sb="10" eb="11">
      <t>レツ</t>
    </rPh>
    <phoneticPr fontId="3"/>
  </si>
  <si>
    <t>3-7.生年月日(F列)が早い人から5人の生年月日(F列)を、太字にする条件付き書式を設定しなさい。</t>
    <rPh sb="10" eb="11">
      <t>レツ</t>
    </rPh>
    <rPh sb="21" eb="23">
      <t>セイネン</t>
    </rPh>
    <rPh sb="23" eb="25">
      <t>ガッピ</t>
    </rPh>
    <rPh sb="27" eb="28">
      <t>レツ</t>
    </rPh>
    <phoneticPr fontId="3"/>
  </si>
  <si>
    <t>A型</t>
  </si>
  <si>
    <t>O型</t>
  </si>
  <si>
    <t>B型</t>
  </si>
  <si>
    <t>AB型</t>
  </si>
  <si>
    <t>3-2.血液型(E列)が「A型」だった場合、セルを黄色で塗りつぶす条件付き書式を設定しなさい。</t>
    <rPh sb="9" eb="10">
      <t>レツ</t>
    </rPh>
    <phoneticPr fontId="3"/>
  </si>
  <si>
    <t>3-3.血液型(E列)が「B型」だった場合、セルを橙色で塗りつぶす条件付き書式を設定しなさい。</t>
  </si>
  <si>
    <t>3-4.血液型(E列)が「AB型」だった場合、セルを緑色で塗りつぶす条件付き書式を設定しなさい。</t>
  </si>
  <si>
    <t>3-5.血液型(E列)が「O型」だった場合、セルを紫色で塗りつぶす条件付き書式を設定しなさい。</t>
  </si>
  <si>
    <t>4-1.回答欄</t>
    <rPh sb="4" eb="6">
      <t>カイトウ</t>
    </rPh>
    <rPh sb="6" eb="7">
      <t>ラン</t>
    </rPh>
    <phoneticPr fontId="3"/>
  </si>
  <si>
    <t>4-2.回答欄</t>
    <rPh sb="4" eb="6">
      <t>カイトウ</t>
    </rPh>
    <rPh sb="6" eb="7">
      <t>ラン</t>
    </rPh>
    <phoneticPr fontId="3"/>
  </si>
  <si>
    <t>4-3.回答欄</t>
    <rPh sb="4" eb="6">
      <t>カイトウ</t>
    </rPh>
    <rPh sb="6" eb="7">
      <t>ラン</t>
    </rPh>
    <phoneticPr fontId="3"/>
  </si>
  <si>
    <t>4-4.回答欄</t>
    <rPh sb="4" eb="6">
      <t>カイトウ</t>
    </rPh>
    <rPh sb="6" eb="7">
      <t>ラン</t>
    </rPh>
    <phoneticPr fontId="3"/>
  </si>
  <si>
    <t>4-5.回答欄</t>
    <rPh sb="4" eb="6">
      <t>カイトウ</t>
    </rPh>
    <rPh sb="6" eb="7">
      <t>ラン</t>
    </rPh>
    <phoneticPr fontId="3"/>
  </si>
  <si>
    <t>4-6.回答欄</t>
    <rPh sb="4" eb="6">
      <t>カイトウ</t>
    </rPh>
    <rPh sb="6" eb="7">
      <t>ラン</t>
    </rPh>
    <phoneticPr fontId="3"/>
  </si>
  <si>
    <t>5-16.セルG7に対して、集計表(A3:D14)からセルG5、G6にある行番号、列番号で指定した先のセルにある</t>
    <rPh sb="10" eb="11">
      <t>タイ</t>
    </rPh>
    <rPh sb="14" eb="17">
      <t>シュウケイヒョウ</t>
    </rPh>
    <rPh sb="37" eb="40">
      <t>ギョウバンゴウ</t>
    </rPh>
    <rPh sb="41" eb="44">
      <t>レツバンゴウ</t>
    </rPh>
    <rPh sb="45" eb="47">
      <t>シテイ</t>
    </rPh>
    <rPh sb="49" eb="50">
      <t>サキ</t>
    </rPh>
    <phoneticPr fontId="3"/>
  </si>
  <si>
    <t>2-5.セルD11に、セルD2の内容を絶対参照で反映させなさい。その後、セルD15まで内容をコピーしなさい。</t>
    <phoneticPr fontId="3"/>
  </si>
  <si>
    <t>4行目にある税込み価格を表示させない</t>
    <rPh sb="1" eb="3">
      <t>ギョウメ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</si>
</sst>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13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rgb="FF0070C0"/>
      <name val="ＭＳ Ｐゴシック"/>
      <family val="2"/>
      <charset val="128"/>
      <scheme val="minor"/>
    </font>
    <font>
      <sz val="11"/>
      <color rgb="FF0070C0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double">
        <color indexed="64"/>
      </bottom>
      <diagonal/>
    </border>
    <border>
      <left/>
      <right style="hair">
        <color indexed="64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double">
        <color indexed="64"/>
      </bottom>
      <diagonal/>
    </border>
    <border>
      <left/>
      <right style="thin">
        <color indexed="64"/>
      </right>
      <top style="hair">
        <color auto="1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auto="1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175">
    <xf numFmtId="0" fontId="0" fillId="0" borderId="0" xfId="0">
      <alignment vertical="center"/>
    </xf>
    <xf numFmtId="0" fontId="0" fillId="0" borderId="2" xfId="0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6" fillId="0" borderId="4" xfId="0" applyFont="1" applyBorder="1">
      <alignment vertical="center"/>
    </xf>
    <xf numFmtId="0" fontId="4" fillId="4" borderId="2" xfId="0" applyFont="1" applyFill="1" applyBorder="1">
      <alignment vertical="center"/>
    </xf>
    <xf numFmtId="0" fontId="4" fillId="0" borderId="2" xfId="0" applyFont="1" applyBorder="1">
      <alignment vertical="center"/>
    </xf>
    <xf numFmtId="0" fontId="4" fillId="3" borderId="2" xfId="5" applyFont="1" applyBorder="1">
      <alignment vertical="center"/>
    </xf>
    <xf numFmtId="0" fontId="4" fillId="0" borderId="5" xfId="0" applyFont="1" applyBorder="1">
      <alignment vertical="center"/>
    </xf>
    <xf numFmtId="0" fontId="7" fillId="2" borderId="1" xfId="4" applyFont="1">
      <alignment vertical="center"/>
    </xf>
    <xf numFmtId="14" fontId="4" fillId="0" borderId="2" xfId="0" applyNumberFormat="1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>
      <alignment vertical="center"/>
    </xf>
    <xf numFmtId="14" fontId="4" fillId="0" borderId="3" xfId="0" applyNumberFormat="1" applyFont="1" applyBorder="1" applyAlignment="1">
      <alignment vertical="center" wrapText="1"/>
    </xf>
    <xf numFmtId="9" fontId="4" fillId="0" borderId="2" xfId="3" applyFont="1" applyBorder="1">
      <alignment vertical="center"/>
    </xf>
    <xf numFmtId="0" fontId="9" fillId="5" borderId="16" xfId="0" applyFont="1" applyFill="1" applyBorder="1" applyAlignment="1">
      <alignment horizontal="center" vertical="center" wrapText="1"/>
    </xf>
    <xf numFmtId="0" fontId="9" fillId="5" borderId="17" xfId="0" applyFont="1" applyFill="1" applyBorder="1" applyAlignment="1">
      <alignment horizontal="center" vertical="center" wrapText="1"/>
    </xf>
    <xf numFmtId="0" fontId="9" fillId="5" borderId="18" xfId="0" applyFont="1" applyFill="1" applyBorder="1" applyAlignment="1">
      <alignment horizontal="center" vertical="center" wrapText="1"/>
    </xf>
    <xf numFmtId="0" fontId="9" fillId="5" borderId="19" xfId="1" applyNumberFormat="1" applyFont="1" applyFill="1" applyBorder="1" applyAlignment="1">
      <alignment horizontal="center" vertical="center" wrapText="1"/>
    </xf>
    <xf numFmtId="0" fontId="9" fillId="5" borderId="18" xfId="1" applyNumberFormat="1" applyFont="1" applyFill="1" applyBorder="1" applyAlignment="1">
      <alignment horizontal="center" vertical="center" wrapText="1"/>
    </xf>
    <xf numFmtId="0" fontId="0" fillId="0" borderId="23" xfId="0" applyBorder="1">
      <alignment vertical="center"/>
    </xf>
    <xf numFmtId="0" fontId="0" fillId="0" borderId="24" xfId="2" applyNumberFormat="1" applyFont="1" applyFill="1" applyBorder="1" applyAlignment="1">
      <alignment horizontal="right" vertical="center"/>
    </xf>
    <xf numFmtId="0" fontId="0" fillId="0" borderId="25" xfId="1" applyNumberFormat="1" applyFont="1" applyBorder="1">
      <alignment vertical="center"/>
    </xf>
    <xf numFmtId="0" fontId="0" fillId="0" borderId="26" xfId="1" applyNumberFormat="1" applyFont="1" applyBorder="1">
      <alignment vertical="center"/>
    </xf>
    <xf numFmtId="0" fontId="0" fillId="0" borderId="27" xfId="1" applyNumberFormat="1" applyFont="1" applyBorder="1">
      <alignment vertical="center"/>
    </xf>
    <xf numFmtId="0" fontId="0" fillId="0" borderId="24" xfId="1" applyNumberFormat="1" applyFont="1" applyBorder="1">
      <alignment vertical="center"/>
    </xf>
    <xf numFmtId="0" fontId="0" fillId="0" borderId="28" xfId="2" applyNumberFormat="1" applyFont="1" applyBorder="1">
      <alignment vertical="center"/>
    </xf>
    <xf numFmtId="0" fontId="10" fillId="0" borderId="27" xfId="2" applyNumberFormat="1" applyFont="1" applyFill="1" applyBorder="1">
      <alignment vertical="center"/>
    </xf>
    <xf numFmtId="0" fontId="10" fillId="0" borderId="24" xfId="2" applyNumberFormat="1" applyFont="1" applyFill="1" applyBorder="1">
      <alignment vertical="center"/>
    </xf>
    <xf numFmtId="176" fontId="10" fillId="0" borderId="29" xfId="3" applyNumberFormat="1" applyFont="1" applyFill="1" applyBorder="1">
      <alignment vertical="center"/>
    </xf>
    <xf numFmtId="0" fontId="0" fillId="0" borderId="31" xfId="2" applyNumberFormat="1" applyFont="1" applyFill="1" applyBorder="1" applyAlignment="1">
      <alignment horizontal="right" vertical="center"/>
    </xf>
    <xf numFmtId="0" fontId="0" fillId="0" borderId="32" xfId="1" applyNumberFormat="1" applyFont="1" applyBorder="1">
      <alignment vertical="center"/>
    </xf>
    <xf numFmtId="0" fontId="0" fillId="0" borderId="33" xfId="1" applyNumberFormat="1" applyFont="1" applyBorder="1">
      <alignment vertical="center"/>
    </xf>
    <xf numFmtId="0" fontId="0" fillId="0" borderId="34" xfId="1" applyNumberFormat="1" applyFont="1" applyBorder="1">
      <alignment vertical="center"/>
    </xf>
    <xf numFmtId="0" fontId="0" fillId="0" borderId="31" xfId="1" applyNumberFormat="1" applyFont="1" applyBorder="1">
      <alignment vertical="center"/>
    </xf>
    <xf numFmtId="0" fontId="0" fillId="0" borderId="35" xfId="2" applyNumberFormat="1" applyFont="1" applyBorder="1">
      <alignment vertical="center"/>
    </xf>
    <xf numFmtId="0" fontId="0" fillId="0" borderId="36" xfId="2" applyNumberFormat="1" applyFont="1" applyBorder="1">
      <alignment vertical="center"/>
    </xf>
    <xf numFmtId="0" fontId="0" fillId="0" borderId="31" xfId="2" applyNumberFormat="1" applyFont="1" applyFill="1" applyBorder="1">
      <alignment vertical="center"/>
    </xf>
    <xf numFmtId="176" fontId="0" fillId="0" borderId="36" xfId="3" applyNumberFormat="1" applyFont="1" applyBorder="1">
      <alignment vertical="center"/>
    </xf>
    <xf numFmtId="0" fontId="10" fillId="0" borderId="31" xfId="2" applyNumberFormat="1" applyFont="1" applyFill="1" applyBorder="1" applyAlignment="1">
      <alignment horizontal="right" vertical="center"/>
    </xf>
    <xf numFmtId="0" fontId="0" fillId="0" borderId="38" xfId="0" applyBorder="1">
      <alignment vertical="center"/>
    </xf>
    <xf numFmtId="0" fontId="10" fillId="0" borderId="39" xfId="2" applyNumberFormat="1" applyFont="1" applyFill="1" applyBorder="1" applyAlignment="1">
      <alignment horizontal="right" vertical="center"/>
    </xf>
    <xf numFmtId="0" fontId="0" fillId="0" borderId="40" xfId="1" applyNumberFormat="1" applyFont="1" applyBorder="1">
      <alignment vertical="center"/>
    </xf>
    <xf numFmtId="0" fontId="0" fillId="0" borderId="41" xfId="1" applyNumberFormat="1" applyFont="1" applyBorder="1">
      <alignment vertical="center"/>
    </xf>
    <xf numFmtId="0" fontId="0" fillId="0" borderId="42" xfId="1" applyNumberFormat="1" applyFont="1" applyBorder="1">
      <alignment vertical="center"/>
    </xf>
    <xf numFmtId="0" fontId="0" fillId="0" borderId="39" xfId="1" applyNumberFormat="1" applyFont="1" applyBorder="1">
      <alignment vertical="center"/>
    </xf>
    <xf numFmtId="0" fontId="0" fillId="0" borderId="43" xfId="2" applyNumberFormat="1" applyFont="1" applyBorder="1">
      <alignment vertical="center"/>
    </xf>
    <xf numFmtId="0" fontId="0" fillId="0" borderId="44" xfId="2" applyNumberFormat="1" applyFont="1" applyBorder="1">
      <alignment vertical="center"/>
    </xf>
    <xf numFmtId="0" fontId="0" fillId="0" borderId="39" xfId="2" applyNumberFormat="1" applyFont="1" applyFill="1" applyBorder="1">
      <alignment vertical="center"/>
    </xf>
    <xf numFmtId="176" fontId="0" fillId="0" borderId="44" xfId="3" applyNumberFormat="1" applyFont="1" applyBorder="1">
      <alignment vertical="center"/>
    </xf>
    <xf numFmtId="0" fontId="0" fillId="5" borderId="48" xfId="1" applyNumberFormat="1" applyFont="1" applyFill="1" applyBorder="1">
      <alignment vertical="center"/>
    </xf>
    <xf numFmtId="0" fontId="0" fillId="5" borderId="49" xfId="1" applyNumberFormat="1" applyFont="1" applyFill="1" applyBorder="1">
      <alignment vertical="center"/>
    </xf>
    <xf numFmtId="0" fontId="0" fillId="5" borderId="50" xfId="1" applyNumberFormat="1" applyFont="1" applyFill="1" applyBorder="1">
      <alignment vertical="center"/>
    </xf>
    <xf numFmtId="0" fontId="0" fillId="5" borderId="51" xfId="2" applyNumberFormat="1" applyFont="1" applyFill="1" applyBorder="1">
      <alignment vertical="center"/>
    </xf>
    <xf numFmtId="0" fontId="0" fillId="5" borderId="47" xfId="2" applyNumberFormat="1" applyFont="1" applyFill="1" applyBorder="1">
      <alignment vertical="center"/>
    </xf>
    <xf numFmtId="0" fontId="0" fillId="5" borderId="50" xfId="2" applyNumberFormat="1" applyFont="1" applyFill="1" applyBorder="1">
      <alignment vertical="center"/>
    </xf>
    <xf numFmtId="176" fontId="0" fillId="5" borderId="47" xfId="3" applyNumberFormat="1" applyFont="1" applyFill="1" applyBorder="1">
      <alignment vertical="center"/>
    </xf>
    <xf numFmtId="176" fontId="0" fillId="0" borderId="30" xfId="3" applyNumberFormat="1" applyFont="1" applyBorder="1">
      <alignment vertical="center"/>
    </xf>
    <xf numFmtId="176" fontId="0" fillId="0" borderId="37" xfId="3" applyNumberFormat="1" applyFont="1" applyBorder="1">
      <alignment vertical="center"/>
    </xf>
    <xf numFmtId="176" fontId="0" fillId="0" borderId="45" xfId="3" applyNumberFormat="1" applyFont="1" applyBorder="1">
      <alignment vertical="center"/>
    </xf>
    <xf numFmtId="176" fontId="0" fillId="5" borderId="52" xfId="3" applyNumberFormat="1" applyFont="1" applyFill="1" applyBorder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5" borderId="53" xfId="0" applyFont="1" applyFill="1" applyBorder="1" applyAlignment="1">
      <alignment horizontal="center" vertical="center"/>
    </xf>
    <xf numFmtId="9" fontId="10" fillId="5" borderId="54" xfId="0" applyNumberFormat="1" applyFont="1" applyFill="1" applyBorder="1" applyAlignment="1">
      <alignment horizontal="center" vertical="center"/>
    </xf>
    <xf numFmtId="0" fontId="4" fillId="5" borderId="8" xfId="0" applyFont="1" applyFill="1" applyBorder="1">
      <alignment vertical="center"/>
    </xf>
    <xf numFmtId="0" fontId="4" fillId="0" borderId="13" xfId="0" applyFont="1" applyBorder="1">
      <alignment vertical="center"/>
    </xf>
    <xf numFmtId="0" fontId="4" fillId="5" borderId="59" xfId="0" applyFont="1" applyFill="1" applyBorder="1">
      <alignment vertical="center"/>
    </xf>
    <xf numFmtId="0" fontId="4" fillId="0" borderId="60" xfId="0" applyFont="1" applyBorder="1">
      <alignment vertical="center"/>
    </xf>
    <xf numFmtId="0" fontId="4" fillId="5" borderId="62" xfId="0" applyFont="1" applyFill="1" applyBorder="1">
      <alignment vertical="center"/>
    </xf>
    <xf numFmtId="0" fontId="4" fillId="5" borderId="63" xfId="0" applyFont="1" applyFill="1" applyBorder="1">
      <alignment vertical="center"/>
    </xf>
    <xf numFmtId="0" fontId="9" fillId="5" borderId="65" xfId="0" applyFont="1" applyFill="1" applyBorder="1" applyAlignment="1">
      <alignment horizontal="center" vertical="center" wrapText="1"/>
    </xf>
    <xf numFmtId="0" fontId="9" fillId="5" borderId="65" xfId="1" applyNumberFormat="1" applyFont="1" applyFill="1" applyBorder="1" applyAlignment="1">
      <alignment horizontal="center" vertical="center" wrapText="1"/>
    </xf>
    <xf numFmtId="0" fontId="0" fillId="0" borderId="67" xfId="2" applyNumberFormat="1" applyFont="1" applyFill="1" applyBorder="1" applyAlignment="1">
      <alignment horizontal="right" vertical="center"/>
    </xf>
    <xf numFmtId="0" fontId="0" fillId="0" borderId="68" xfId="2" applyNumberFormat="1" applyFont="1" applyFill="1" applyBorder="1" applyAlignment="1">
      <alignment horizontal="right" vertical="center"/>
    </xf>
    <xf numFmtId="0" fontId="10" fillId="0" borderId="68" xfId="2" applyNumberFormat="1" applyFont="1" applyFill="1" applyBorder="1" applyAlignment="1">
      <alignment horizontal="right" vertical="center"/>
    </xf>
    <xf numFmtId="0" fontId="0" fillId="0" borderId="69" xfId="1" applyNumberFormat="1" applyFont="1" applyBorder="1">
      <alignment vertical="center"/>
    </xf>
    <xf numFmtId="0" fontId="0" fillId="0" borderId="69" xfId="2" applyNumberFormat="1" applyFont="1" applyBorder="1">
      <alignment vertical="center"/>
    </xf>
    <xf numFmtId="0" fontId="0" fillId="0" borderId="31" xfId="2" applyNumberFormat="1" applyFont="1" applyBorder="1">
      <alignment vertical="center"/>
    </xf>
    <xf numFmtId="0" fontId="10" fillId="0" borderId="69" xfId="2" applyNumberFormat="1" applyFont="1" applyFill="1" applyBorder="1">
      <alignment vertical="center"/>
    </xf>
    <xf numFmtId="176" fontId="10" fillId="0" borderId="69" xfId="3" applyNumberFormat="1" applyFont="1" applyFill="1" applyBorder="1">
      <alignment vertical="center"/>
    </xf>
    <xf numFmtId="176" fontId="0" fillId="0" borderId="31" xfId="3" applyNumberFormat="1" applyFont="1" applyBorder="1">
      <alignment vertical="center"/>
    </xf>
    <xf numFmtId="0" fontId="0" fillId="0" borderId="10" xfId="0" applyBorder="1">
      <alignment vertical="center"/>
    </xf>
    <xf numFmtId="0" fontId="0" fillId="0" borderId="9" xfId="0" applyBorder="1">
      <alignment vertical="center"/>
    </xf>
    <xf numFmtId="0" fontId="0" fillId="5" borderId="64" xfId="1" applyNumberFormat="1" applyFont="1" applyFill="1" applyBorder="1">
      <alignment vertical="center"/>
    </xf>
    <xf numFmtId="0" fontId="0" fillId="5" borderId="64" xfId="2" applyNumberFormat="1" applyFont="1" applyFill="1" applyBorder="1">
      <alignment vertical="center"/>
    </xf>
    <xf numFmtId="176" fontId="0" fillId="5" borderId="64" xfId="3" applyNumberFormat="1" applyFont="1" applyFill="1" applyBorder="1">
      <alignment vertical="center"/>
    </xf>
    <xf numFmtId="176" fontId="0" fillId="0" borderId="72" xfId="3" applyNumberFormat="1" applyFont="1" applyBorder="1">
      <alignment vertical="center"/>
    </xf>
    <xf numFmtId="176" fontId="0" fillId="0" borderId="73" xfId="3" applyNumberFormat="1" applyFont="1" applyBorder="1">
      <alignment vertical="center"/>
    </xf>
    <xf numFmtId="176" fontId="0" fillId="5" borderId="60" xfId="3" applyNumberFormat="1" applyFont="1" applyFill="1" applyBorder="1">
      <alignment vertical="center"/>
    </xf>
    <xf numFmtId="0" fontId="9" fillId="5" borderId="74" xfId="0" applyFont="1" applyFill="1" applyBorder="1" applyAlignment="1">
      <alignment horizontal="center" vertical="center" wrapText="1"/>
    </xf>
    <xf numFmtId="0" fontId="0" fillId="0" borderId="75" xfId="1" applyNumberFormat="1" applyFont="1" applyBorder="1">
      <alignment vertical="center"/>
    </xf>
    <xf numFmtId="0" fontId="0" fillId="0" borderId="76" xfId="1" applyNumberFormat="1" applyFont="1" applyBorder="1">
      <alignment vertical="center"/>
    </xf>
    <xf numFmtId="0" fontId="0" fillId="0" borderId="77" xfId="0" applyBorder="1">
      <alignment vertical="center"/>
    </xf>
    <xf numFmtId="0" fontId="0" fillId="0" borderId="78" xfId="1" applyNumberFormat="1" applyFont="1" applyBorder="1">
      <alignment vertical="center"/>
    </xf>
    <xf numFmtId="0" fontId="0" fillId="0" borderId="79" xfId="1" applyNumberFormat="1" applyFont="1" applyBorder="1">
      <alignment vertical="center"/>
    </xf>
    <xf numFmtId="0" fontId="0" fillId="0" borderId="80" xfId="1" applyNumberFormat="1" applyFont="1" applyBorder="1">
      <alignment vertical="center"/>
    </xf>
    <xf numFmtId="0" fontId="0" fillId="0" borderId="8" xfId="0" applyBorder="1">
      <alignment vertical="center"/>
    </xf>
    <xf numFmtId="0" fontId="0" fillId="0" borderId="13" xfId="0" applyBorder="1">
      <alignment vertical="center"/>
    </xf>
    <xf numFmtId="0" fontId="0" fillId="0" borderId="63" xfId="0" applyBorder="1">
      <alignment vertical="center"/>
    </xf>
    <xf numFmtId="0" fontId="0" fillId="0" borderId="64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5" borderId="8" xfId="0" applyFill="1" applyBorder="1">
      <alignment vertical="center"/>
    </xf>
    <xf numFmtId="0" fontId="0" fillId="5" borderId="63" xfId="0" applyFill="1" applyBorder="1">
      <alignment vertical="center"/>
    </xf>
    <xf numFmtId="0" fontId="0" fillId="5" borderId="59" xfId="0" applyFill="1" applyBorder="1">
      <alignment vertical="center"/>
    </xf>
    <xf numFmtId="0" fontId="0" fillId="0" borderId="4" xfId="0" applyBorder="1">
      <alignment vertical="center"/>
    </xf>
    <xf numFmtId="0" fontId="0" fillId="0" borderId="54" xfId="0" applyBorder="1">
      <alignment vertical="center"/>
    </xf>
    <xf numFmtId="0" fontId="6" fillId="5" borderId="8" xfId="5" applyFont="1" applyFill="1" applyBorder="1">
      <alignment vertical="center"/>
    </xf>
    <xf numFmtId="0" fontId="6" fillId="5" borderId="9" xfId="5" applyFont="1" applyFill="1" applyBorder="1">
      <alignment vertical="center"/>
    </xf>
    <xf numFmtId="0" fontId="6" fillId="5" borderId="13" xfId="5" applyFont="1" applyFill="1" applyBorder="1">
      <alignment vertical="center"/>
    </xf>
    <xf numFmtId="0" fontId="0" fillId="0" borderId="82" xfId="0" applyBorder="1">
      <alignment vertical="center"/>
    </xf>
    <xf numFmtId="3" fontId="0" fillId="0" borderId="2" xfId="0" applyNumberFormat="1" applyBorder="1">
      <alignment vertical="center"/>
    </xf>
    <xf numFmtId="0" fontId="0" fillId="0" borderId="83" xfId="0" applyBorder="1">
      <alignment vertical="center"/>
    </xf>
    <xf numFmtId="0" fontId="0" fillId="0" borderId="66" xfId="0" applyBorder="1">
      <alignment vertical="center"/>
    </xf>
    <xf numFmtId="0" fontId="0" fillId="0" borderId="61" xfId="0" applyBorder="1">
      <alignment vertical="center"/>
    </xf>
    <xf numFmtId="0" fontId="0" fillId="0" borderId="84" xfId="0" applyBorder="1">
      <alignment vertical="center"/>
    </xf>
    <xf numFmtId="0" fontId="0" fillId="0" borderId="85" xfId="0" applyBorder="1">
      <alignment vertical="center"/>
    </xf>
    <xf numFmtId="0" fontId="0" fillId="0" borderId="86" xfId="0" applyBorder="1">
      <alignment vertical="center"/>
    </xf>
    <xf numFmtId="0" fontId="0" fillId="0" borderId="87" xfId="0" applyBorder="1">
      <alignment vertical="center"/>
    </xf>
    <xf numFmtId="0" fontId="0" fillId="0" borderId="88" xfId="0" applyBorder="1">
      <alignment vertical="center"/>
    </xf>
    <xf numFmtId="0" fontId="0" fillId="0" borderId="89" xfId="0" applyBorder="1">
      <alignment vertical="center"/>
    </xf>
    <xf numFmtId="0" fontId="0" fillId="0" borderId="90" xfId="0" applyBorder="1">
      <alignment vertical="center"/>
    </xf>
    <xf numFmtId="0" fontId="0" fillId="0" borderId="9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92" xfId="0" applyBorder="1">
      <alignment vertical="center"/>
    </xf>
    <xf numFmtId="0" fontId="0" fillId="0" borderId="4" xfId="0" applyBorder="1" applyAlignment="1">
      <alignment horizontal="center" vertical="center"/>
    </xf>
    <xf numFmtId="0" fontId="4" fillId="0" borderId="94" xfId="0" applyFont="1" applyBorder="1">
      <alignment vertical="center"/>
    </xf>
    <xf numFmtId="0" fontId="4" fillId="0" borderId="95" xfId="0" applyFont="1" applyBorder="1">
      <alignment vertical="center"/>
    </xf>
    <xf numFmtId="0" fontId="4" fillId="0" borderId="96" xfId="0" applyFont="1" applyBorder="1">
      <alignment vertical="center"/>
    </xf>
    <xf numFmtId="0" fontId="4" fillId="0" borderId="97" xfId="0" applyFont="1" applyBorder="1">
      <alignment vertical="center"/>
    </xf>
    <xf numFmtId="0" fontId="4" fillId="0" borderId="98" xfId="0" applyFont="1" applyBorder="1">
      <alignment vertical="center"/>
    </xf>
    <xf numFmtId="0" fontId="4" fillId="0" borderId="46" xfId="0" applyFont="1" applyBorder="1">
      <alignment vertical="center"/>
    </xf>
    <xf numFmtId="0" fontId="4" fillId="0" borderId="99" xfId="0" applyFont="1" applyBorder="1">
      <alignment vertical="center"/>
    </xf>
    <xf numFmtId="0" fontId="4" fillId="0" borderId="100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64" xfId="0" applyFont="1" applyBorder="1">
      <alignment vertical="center"/>
    </xf>
    <xf numFmtId="0" fontId="4" fillId="0" borderId="52" xfId="0" applyFont="1" applyBorder="1">
      <alignment vertical="center"/>
    </xf>
    <xf numFmtId="0" fontId="0" fillId="0" borderId="81" xfId="0" applyBorder="1">
      <alignment vertical="center"/>
    </xf>
    <xf numFmtId="0" fontId="4" fillId="4" borderId="2" xfId="0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8" fillId="5" borderId="11" xfId="1" applyNumberFormat="1" applyFont="1" applyFill="1" applyBorder="1" applyAlignment="1">
      <alignment horizontal="center" vertical="center" wrapText="1"/>
    </xf>
    <xf numFmtId="0" fontId="8" fillId="5" borderId="20" xfId="1" applyNumberFormat="1" applyFont="1" applyFill="1" applyBorder="1" applyAlignment="1">
      <alignment horizontal="center" vertical="center" wrapText="1"/>
    </xf>
    <xf numFmtId="0" fontId="8" fillId="5" borderId="12" xfId="1" applyNumberFormat="1" applyFont="1" applyFill="1" applyBorder="1" applyAlignment="1">
      <alignment horizontal="center" vertical="center" wrapText="1"/>
    </xf>
    <xf numFmtId="0" fontId="8" fillId="5" borderId="21" xfId="1" applyNumberFormat="1" applyFont="1" applyFill="1" applyBorder="1" applyAlignment="1">
      <alignment horizontal="center" vertical="center" wrapText="1"/>
    </xf>
    <xf numFmtId="0" fontId="8" fillId="5" borderId="13" xfId="1" applyNumberFormat="1" applyFont="1" applyFill="1" applyBorder="1" applyAlignment="1">
      <alignment horizontal="center" vertical="center" wrapText="1"/>
    </xf>
    <xf numFmtId="0" fontId="8" fillId="5" borderId="22" xfId="1" applyNumberFormat="1" applyFont="1" applyFill="1" applyBorder="1" applyAlignment="1">
      <alignment horizontal="center" vertical="center" wrapText="1"/>
    </xf>
    <xf numFmtId="0" fontId="6" fillId="5" borderId="46" xfId="0" applyFont="1" applyFill="1" applyBorder="1" applyAlignment="1">
      <alignment horizontal="right" vertical="center"/>
    </xf>
    <xf numFmtId="0" fontId="6" fillId="5" borderId="47" xfId="0" applyFont="1" applyFill="1" applyBorder="1" applyAlignment="1">
      <alignment horizontal="right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9" xfId="1" applyNumberFormat="1" applyFont="1" applyFill="1" applyBorder="1" applyAlignment="1">
      <alignment horizontal="center" vertical="center" wrapText="1"/>
    </xf>
    <xf numFmtId="0" fontId="8" fillId="5" borderId="63" xfId="1" applyNumberFormat="1" applyFont="1" applyFill="1" applyBorder="1" applyAlignment="1">
      <alignment horizontal="center" vertical="center" wrapText="1"/>
    </xf>
    <xf numFmtId="0" fontId="8" fillId="5" borderId="65" xfId="1" applyNumberFormat="1" applyFont="1" applyFill="1" applyBorder="1" applyAlignment="1">
      <alignment horizontal="center" vertical="center" wrapText="1"/>
    </xf>
    <xf numFmtId="0" fontId="8" fillId="5" borderId="59" xfId="1" applyNumberFormat="1" applyFont="1" applyFill="1" applyBorder="1" applyAlignment="1">
      <alignment horizontal="center" vertical="center" wrapText="1"/>
    </xf>
    <xf numFmtId="0" fontId="8" fillId="5" borderId="71" xfId="1" applyNumberFormat="1" applyFont="1" applyFill="1" applyBorder="1" applyAlignment="1">
      <alignment horizontal="center" vertical="center" wrapText="1"/>
    </xf>
    <xf numFmtId="0" fontId="8" fillId="5" borderId="70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64" xfId="0" applyFont="1" applyFill="1" applyBorder="1" applyAlignment="1">
      <alignment horizontal="center" vertical="center"/>
    </xf>
    <xf numFmtId="0" fontId="8" fillId="5" borderId="63" xfId="0" applyFont="1" applyFill="1" applyBorder="1" applyAlignment="1">
      <alignment horizontal="center" vertical="center" wrapText="1"/>
    </xf>
    <xf numFmtId="0" fontId="8" fillId="5" borderId="65" xfId="0" applyFont="1" applyFill="1" applyBorder="1" applyAlignment="1">
      <alignment horizontal="center" vertical="center" wrapText="1"/>
    </xf>
    <xf numFmtId="0" fontId="8" fillId="5" borderId="63" xfId="0" applyFont="1" applyFill="1" applyBorder="1" applyAlignment="1">
      <alignment horizontal="center" vertical="center"/>
    </xf>
    <xf numFmtId="0" fontId="8" fillId="5" borderId="57" xfId="0" applyFont="1" applyFill="1" applyBorder="1" applyAlignment="1">
      <alignment horizontal="center" vertical="center"/>
    </xf>
    <xf numFmtId="0" fontId="8" fillId="5" borderId="58" xfId="0" applyFont="1" applyFill="1" applyBorder="1" applyAlignment="1">
      <alignment horizontal="center" vertical="center"/>
    </xf>
    <xf numFmtId="0" fontId="8" fillId="5" borderId="55" xfId="0" applyFont="1" applyFill="1" applyBorder="1" applyAlignment="1">
      <alignment horizontal="center" vertical="center"/>
    </xf>
    <xf numFmtId="0" fontId="8" fillId="5" borderId="56" xfId="0" applyFont="1" applyFill="1" applyBorder="1" applyAlignment="1">
      <alignment horizontal="center" vertical="center"/>
    </xf>
    <xf numFmtId="0" fontId="8" fillId="5" borderId="93" xfId="0" applyFont="1" applyFill="1" applyBorder="1" applyAlignment="1">
      <alignment horizontal="center" vertical="center"/>
    </xf>
  </cellXfs>
  <cellStyles count="6">
    <cellStyle name="20% - アクセント 2" xfId="5" builtinId="34"/>
    <cellStyle name="パーセント" xfId="3" builtinId="5"/>
    <cellStyle name="桁区切り" xfId="1" builtinId="6"/>
    <cellStyle name="通貨" xfId="2" builtinId="7"/>
    <cellStyle name="入力" xfId="4" builtinId="20"/>
    <cellStyle name="標準" xfId="0" builtinId="0"/>
  </cellStyles>
  <dxfs count="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問4!$B$1</c:f>
              <c:strCache>
                <c:ptCount val="1"/>
                <c:pt idx="0">
                  <c:v>販売数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問4!$A$2:$A$6</c:f>
              <c:strCache>
                <c:ptCount val="5"/>
                <c:pt idx="0">
                  <c:v>りんご</c:v>
                </c:pt>
                <c:pt idx="1">
                  <c:v>みかん</c:v>
                </c:pt>
                <c:pt idx="2">
                  <c:v>バナナ</c:v>
                </c:pt>
                <c:pt idx="3">
                  <c:v>いちご</c:v>
                </c:pt>
                <c:pt idx="4">
                  <c:v>キウイ</c:v>
                </c:pt>
              </c:strCache>
            </c:strRef>
          </c:cat>
          <c:val>
            <c:numRef>
              <c:f>問4!$B$2:$B$6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7-4FB4-B85C-C319F3616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5565176"/>
        <c:axId val="555565960"/>
      </c:barChart>
      <c:catAx>
        <c:axId val="555565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65960"/>
        <c:crosses val="autoZero"/>
        <c:auto val="1"/>
        <c:lblAlgn val="ctr"/>
        <c:lblOffset val="100"/>
        <c:noMultiLvlLbl val="0"/>
      </c:catAx>
      <c:valAx>
        <c:axId val="555565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65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問4!$B$1</c:f>
              <c:strCache>
                <c:ptCount val="1"/>
                <c:pt idx="0">
                  <c:v>販売数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問4!$A$2:$A$6</c:f>
              <c:strCache>
                <c:ptCount val="5"/>
                <c:pt idx="0">
                  <c:v>りんご</c:v>
                </c:pt>
                <c:pt idx="1">
                  <c:v>みかん</c:v>
                </c:pt>
                <c:pt idx="2">
                  <c:v>バナナ</c:v>
                </c:pt>
                <c:pt idx="3">
                  <c:v>いちご</c:v>
                </c:pt>
                <c:pt idx="4">
                  <c:v>キウイ</c:v>
                </c:pt>
              </c:strCache>
            </c:strRef>
          </c:cat>
          <c:val>
            <c:numRef>
              <c:f>問4!$B$2:$B$6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C-49C7-AE99-50E8D170B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5580072"/>
        <c:axId val="555578112"/>
      </c:barChart>
      <c:catAx>
        <c:axId val="555580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品目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78112"/>
        <c:crosses val="autoZero"/>
        <c:auto val="1"/>
        <c:lblAlgn val="ctr"/>
        <c:lblOffset val="100"/>
        <c:noMultiLvlLbl val="0"/>
      </c:catAx>
      <c:valAx>
        <c:axId val="55557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販売数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80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問4!$B$1</c:f>
              <c:strCache>
                <c:ptCount val="1"/>
                <c:pt idx="0">
                  <c:v>販売数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問4!$A$2:$A$6</c:f>
              <c:strCache>
                <c:ptCount val="5"/>
                <c:pt idx="0">
                  <c:v>りんご</c:v>
                </c:pt>
                <c:pt idx="1">
                  <c:v>みかん</c:v>
                </c:pt>
                <c:pt idx="2">
                  <c:v>バナナ</c:v>
                </c:pt>
                <c:pt idx="3">
                  <c:v>いちご</c:v>
                </c:pt>
                <c:pt idx="4">
                  <c:v>キウイ</c:v>
                </c:pt>
              </c:strCache>
            </c:strRef>
          </c:cat>
          <c:val>
            <c:numRef>
              <c:f>問4!$B$2:$B$6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33-4C06-9FA1-0F36C1E51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5580464"/>
        <c:axId val="555576936"/>
      </c:barChart>
      <c:catAx>
        <c:axId val="555580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品目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76936"/>
        <c:crosses val="autoZero"/>
        <c:auto val="1"/>
        <c:lblAlgn val="ctr"/>
        <c:lblOffset val="100"/>
        <c:noMultiLvlLbl val="0"/>
      </c:catAx>
      <c:valAx>
        <c:axId val="5555769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販売数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8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問4!$B$1</c:f>
              <c:strCache>
                <c:ptCount val="1"/>
                <c:pt idx="0">
                  <c:v>販売数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問4!$A$2:$A$6</c:f>
              <c:strCache>
                <c:ptCount val="5"/>
                <c:pt idx="0">
                  <c:v>りんご</c:v>
                </c:pt>
                <c:pt idx="1">
                  <c:v>みかん</c:v>
                </c:pt>
                <c:pt idx="2">
                  <c:v>バナナ</c:v>
                </c:pt>
                <c:pt idx="3">
                  <c:v>いちご</c:v>
                </c:pt>
                <c:pt idx="4">
                  <c:v>キウイ</c:v>
                </c:pt>
              </c:strCache>
            </c:strRef>
          </c:cat>
          <c:val>
            <c:numRef>
              <c:f>問4!$B$2:$B$6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1-4ABB-9207-7A6984E0AB63}"/>
            </c:ext>
          </c:extLst>
        </c:ser>
        <c:ser>
          <c:idx val="1"/>
          <c:order val="1"/>
          <c:tx>
            <c:strRef>
              <c:f>問4!$C$2</c:f>
              <c:strCache>
                <c:ptCount val="1"/>
                <c:pt idx="0">
                  <c:v>100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問4!$C$2:$C$6</c:f>
              <c:numCache>
                <c:formatCode>General</c:formatCode>
                <c:ptCount val="5"/>
                <c:pt idx="0">
                  <c:v>100</c:v>
                </c:pt>
                <c:pt idx="1">
                  <c:v>80</c:v>
                </c:pt>
                <c:pt idx="2">
                  <c:v>130</c:v>
                </c:pt>
                <c:pt idx="3">
                  <c:v>120</c:v>
                </c:pt>
                <c:pt idx="4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E1-4ABB-9207-7A6984E0A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5576152"/>
        <c:axId val="555586736"/>
      </c:barChart>
      <c:catAx>
        <c:axId val="5555761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品目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86736"/>
        <c:crosses val="autoZero"/>
        <c:auto val="1"/>
        <c:lblAlgn val="ctr"/>
        <c:lblOffset val="100"/>
        <c:noMultiLvlLbl val="0"/>
      </c:catAx>
      <c:valAx>
        <c:axId val="555586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販売数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76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問4!$B$1</c:f>
              <c:strCache>
                <c:ptCount val="1"/>
                <c:pt idx="0">
                  <c:v>販売数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問4!$A$2:$A$6</c:f>
              <c:strCache>
                <c:ptCount val="5"/>
                <c:pt idx="0">
                  <c:v>りんご</c:v>
                </c:pt>
                <c:pt idx="1">
                  <c:v>みかん</c:v>
                </c:pt>
                <c:pt idx="2">
                  <c:v>バナナ</c:v>
                </c:pt>
                <c:pt idx="3">
                  <c:v>いちご</c:v>
                </c:pt>
                <c:pt idx="4">
                  <c:v>キウイ</c:v>
                </c:pt>
              </c:strCache>
            </c:strRef>
          </c:cat>
          <c:val>
            <c:numRef>
              <c:f>問4!$B$2:$B$6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A-404F-A50E-36CFDF1AC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5584384"/>
        <c:axId val="555576544"/>
      </c:barChart>
      <c:barChart>
        <c:barDir val="bar"/>
        <c:grouping val="clustered"/>
        <c:varyColors val="0"/>
        <c:ser>
          <c:idx val="1"/>
          <c:order val="1"/>
          <c:tx>
            <c:strRef>
              <c:f>問4!$C$2</c:f>
              <c:strCache>
                <c:ptCount val="1"/>
                <c:pt idx="0">
                  <c:v>100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問4!$C$2:$C$6</c:f>
              <c:numCache>
                <c:formatCode>General</c:formatCode>
                <c:ptCount val="5"/>
                <c:pt idx="0">
                  <c:v>100</c:v>
                </c:pt>
                <c:pt idx="1">
                  <c:v>80</c:v>
                </c:pt>
                <c:pt idx="2">
                  <c:v>130</c:v>
                </c:pt>
                <c:pt idx="3">
                  <c:v>120</c:v>
                </c:pt>
                <c:pt idx="4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3A-404F-A50E-36CFDF1AC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5581248"/>
        <c:axId val="555587128"/>
      </c:barChart>
      <c:catAx>
        <c:axId val="555584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品目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76544"/>
        <c:crosses val="autoZero"/>
        <c:auto val="1"/>
        <c:lblAlgn val="ctr"/>
        <c:lblOffset val="100"/>
        <c:noMultiLvlLbl val="0"/>
      </c:catAx>
      <c:valAx>
        <c:axId val="55557654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販売数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84384"/>
        <c:crosses val="autoZero"/>
        <c:crossBetween val="between"/>
      </c:valAx>
      <c:valAx>
        <c:axId val="555587128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81248"/>
        <c:crosses val="max"/>
        <c:crossBetween val="between"/>
      </c:valAx>
      <c:catAx>
        <c:axId val="555581248"/>
        <c:scaling>
          <c:orientation val="minMax"/>
        </c:scaling>
        <c:delete val="1"/>
        <c:axPos val="l"/>
        <c:majorTickMark val="out"/>
        <c:minorTickMark val="none"/>
        <c:tickLblPos val="nextTo"/>
        <c:crossAx val="555587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問4!$B$1</c:f>
              <c:strCache>
                <c:ptCount val="1"/>
                <c:pt idx="0">
                  <c:v>販売数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問4!$A$2:$A$6</c:f>
              <c:strCache>
                <c:ptCount val="5"/>
                <c:pt idx="0">
                  <c:v>りんご</c:v>
                </c:pt>
                <c:pt idx="1">
                  <c:v>みかん</c:v>
                </c:pt>
                <c:pt idx="2">
                  <c:v>バナナ</c:v>
                </c:pt>
                <c:pt idx="3">
                  <c:v>いちご</c:v>
                </c:pt>
                <c:pt idx="4">
                  <c:v>キウイ</c:v>
                </c:pt>
              </c:strCache>
            </c:strRef>
          </c:cat>
          <c:val>
            <c:numRef>
              <c:f>問4!$B$2:$B$6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C-437F-9BEA-8559E4C25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5577328"/>
        <c:axId val="555585952"/>
      </c:barChart>
      <c:lineChart>
        <c:grouping val="standard"/>
        <c:varyColors val="0"/>
        <c:ser>
          <c:idx val="1"/>
          <c:order val="1"/>
          <c:tx>
            <c:strRef>
              <c:f>問4!$C$2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問4!$C$2:$C$6</c:f>
              <c:numCache>
                <c:formatCode>General</c:formatCode>
                <c:ptCount val="5"/>
                <c:pt idx="0">
                  <c:v>100</c:v>
                </c:pt>
                <c:pt idx="1">
                  <c:v>80</c:v>
                </c:pt>
                <c:pt idx="2">
                  <c:v>130</c:v>
                </c:pt>
                <c:pt idx="3">
                  <c:v>120</c:v>
                </c:pt>
                <c:pt idx="4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6C-437F-9BEA-8559E4C25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5585168"/>
        <c:axId val="555587520"/>
      </c:lineChart>
      <c:catAx>
        <c:axId val="5555773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品目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85952"/>
        <c:crosses val="autoZero"/>
        <c:auto val="1"/>
        <c:lblAlgn val="ctr"/>
        <c:lblOffset val="100"/>
        <c:noMultiLvlLbl val="0"/>
      </c:catAx>
      <c:valAx>
        <c:axId val="55558595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販売数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77328"/>
        <c:crosses val="autoZero"/>
        <c:crossBetween val="between"/>
      </c:valAx>
      <c:valAx>
        <c:axId val="5555875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85168"/>
        <c:crosses val="max"/>
        <c:crossBetween val="between"/>
      </c:valAx>
      <c:catAx>
        <c:axId val="555585168"/>
        <c:scaling>
          <c:orientation val="minMax"/>
        </c:scaling>
        <c:delete val="1"/>
        <c:axPos val="b"/>
        <c:majorTickMark val="out"/>
        <c:minorTickMark val="none"/>
        <c:tickLblPos val="nextTo"/>
        <c:crossAx val="555587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4</xdr:row>
      <xdr:rowOff>30480</xdr:rowOff>
    </xdr:from>
    <xdr:to>
      <xdr:col>10</xdr:col>
      <xdr:colOff>594360</xdr:colOff>
      <xdr:row>13</xdr:row>
      <xdr:rowOff>152400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541020</xdr:colOff>
      <xdr:row>17</xdr:row>
      <xdr:rowOff>38100</xdr:rowOff>
    </xdr:from>
    <xdr:to>
      <xdr:col>14</xdr:col>
      <xdr:colOff>145221</xdr:colOff>
      <xdr:row>29</xdr:row>
      <xdr:rowOff>91626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191"/>
        <a:stretch/>
      </xdr:blipFill>
      <xdr:spPr>
        <a:xfrm>
          <a:off x="3589020" y="2918460"/>
          <a:ext cx="5090601" cy="2080446"/>
        </a:xfrm>
        <a:prstGeom prst="rect">
          <a:avLst/>
        </a:prstGeom>
      </xdr:spPr>
    </xdr:pic>
    <xdr:clientData/>
  </xdr:twoCellAnchor>
  <xdr:twoCellAnchor>
    <xdr:from>
      <xdr:col>11</xdr:col>
      <xdr:colOff>30480</xdr:colOff>
      <xdr:row>16</xdr:row>
      <xdr:rowOff>129540</xdr:rowOff>
    </xdr:from>
    <xdr:to>
      <xdr:col>11</xdr:col>
      <xdr:colOff>426720</xdr:colOff>
      <xdr:row>19</xdr:row>
      <xdr:rowOff>30480</xdr:rowOff>
    </xdr:to>
    <xdr:sp macro="" textlink="">
      <xdr:nvSpPr>
        <xdr:cNvPr id="4" name="円/楕円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736080" y="2842260"/>
          <a:ext cx="396240" cy="40386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160020</xdr:colOff>
      <xdr:row>16</xdr:row>
      <xdr:rowOff>144780</xdr:rowOff>
    </xdr:from>
    <xdr:to>
      <xdr:col>10</xdr:col>
      <xdr:colOff>594360</xdr:colOff>
      <xdr:row>18</xdr:row>
      <xdr:rowOff>76200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646420" y="2857500"/>
          <a:ext cx="104394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①グラフ要素</a:t>
          </a:r>
        </a:p>
      </xdr:txBody>
    </xdr:sp>
    <xdr:clientData/>
  </xdr:twoCellAnchor>
  <xdr:twoCellAnchor>
    <xdr:from>
      <xdr:col>12</xdr:col>
      <xdr:colOff>342900</xdr:colOff>
      <xdr:row>21</xdr:row>
      <xdr:rowOff>91440</xdr:rowOff>
    </xdr:from>
    <xdr:to>
      <xdr:col>14</xdr:col>
      <xdr:colOff>38100</xdr:colOff>
      <xdr:row>23</xdr:row>
      <xdr:rowOff>22860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7658100" y="3642360"/>
          <a:ext cx="9144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②軸ラベル</a:t>
          </a:r>
        </a:p>
      </xdr:txBody>
    </xdr:sp>
    <xdr:clientData/>
  </xdr:twoCellAnchor>
  <xdr:twoCellAnchor>
    <xdr:from>
      <xdr:col>11</xdr:col>
      <xdr:colOff>495300</xdr:colOff>
      <xdr:row>19</xdr:row>
      <xdr:rowOff>121920</xdr:rowOff>
    </xdr:from>
    <xdr:to>
      <xdr:col>13</xdr:col>
      <xdr:colOff>342900</xdr:colOff>
      <xdr:row>21</xdr:row>
      <xdr:rowOff>60960</xdr:rowOff>
    </xdr:to>
    <xdr:sp macro="" textlink="">
      <xdr:nvSpPr>
        <xdr:cNvPr id="7" name="円/楕円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7200900" y="3337560"/>
          <a:ext cx="1066800" cy="27432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15240</xdr:colOff>
      <xdr:row>16</xdr:row>
      <xdr:rowOff>160020</xdr:rowOff>
    </xdr:from>
    <xdr:to>
      <xdr:col>19</xdr:col>
      <xdr:colOff>586740</xdr:colOff>
      <xdr:row>28</xdr:row>
      <xdr:rowOff>99060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15240</xdr:colOff>
      <xdr:row>32</xdr:row>
      <xdr:rowOff>60960</xdr:rowOff>
    </xdr:from>
    <xdr:to>
      <xdr:col>10</xdr:col>
      <xdr:colOff>586740</xdr:colOff>
      <xdr:row>44</xdr:row>
      <xdr:rowOff>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15240</xdr:colOff>
      <xdr:row>48</xdr:row>
      <xdr:rowOff>15240</xdr:rowOff>
    </xdr:from>
    <xdr:to>
      <xdr:col>10</xdr:col>
      <xdr:colOff>586740</xdr:colOff>
      <xdr:row>59</xdr:row>
      <xdr:rowOff>121920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15240</xdr:colOff>
      <xdr:row>63</xdr:row>
      <xdr:rowOff>60960</xdr:rowOff>
    </xdr:from>
    <xdr:to>
      <xdr:col>10</xdr:col>
      <xdr:colOff>586740</xdr:colOff>
      <xdr:row>75</xdr:row>
      <xdr:rowOff>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15240</xdr:colOff>
      <xdr:row>77</xdr:row>
      <xdr:rowOff>160020</xdr:rowOff>
    </xdr:from>
    <xdr:to>
      <xdr:col>10</xdr:col>
      <xdr:colOff>586740</xdr:colOff>
      <xdr:row>89</xdr:row>
      <xdr:rowOff>99060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</xdr:colOff>
      <xdr:row>12</xdr:row>
      <xdr:rowOff>175260</xdr:rowOff>
    </xdr:from>
    <xdr:to>
      <xdr:col>10</xdr:col>
      <xdr:colOff>251718</xdr:colOff>
      <xdr:row>26</xdr:row>
      <xdr:rowOff>38305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742" t="6430"/>
        <a:stretch/>
      </xdr:blipFill>
      <xdr:spPr>
        <a:xfrm>
          <a:off x="3665220" y="2194560"/>
          <a:ext cx="2682498" cy="2217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7"/>
  <sheetViews>
    <sheetView workbookViewId="0"/>
  </sheetViews>
  <sheetFormatPr defaultColWidth="8.875" defaultRowHeight="13.5" x14ac:dyDescent="0.15"/>
  <cols>
    <col min="1" max="1" width="11" style="2" bestFit="1" customWidth="1"/>
    <col min="2" max="16384" width="8.875" style="2"/>
  </cols>
  <sheetData>
    <row r="1" spans="1:8" x14ac:dyDescent="0.1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8" x14ac:dyDescent="0.15">
      <c r="A2" s="2" t="s">
        <v>5</v>
      </c>
      <c r="H2" s="3" t="s">
        <v>156</v>
      </c>
    </row>
    <row r="3" spans="1:8" x14ac:dyDescent="0.15">
      <c r="H3" s="3" t="s">
        <v>157</v>
      </c>
    </row>
    <row r="4" spans="1:8" x14ac:dyDescent="0.15">
      <c r="H4" s="3" t="s">
        <v>158</v>
      </c>
    </row>
    <row r="5" spans="1:8" x14ac:dyDescent="0.15">
      <c r="H5" s="3" t="s">
        <v>159</v>
      </c>
    </row>
    <row r="6" spans="1:8" x14ac:dyDescent="0.15">
      <c r="H6" s="3" t="s">
        <v>160</v>
      </c>
    </row>
    <row r="7" spans="1:8" x14ac:dyDescent="0.15">
      <c r="H7" s="3" t="s">
        <v>161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15"/>
  <sheetViews>
    <sheetView zoomScale="160" zoomScaleNormal="160" workbookViewId="0">
      <selection activeCell="G7" sqref="G7"/>
    </sheetView>
  </sheetViews>
  <sheetFormatPr defaultColWidth="8.875" defaultRowHeight="13.5" x14ac:dyDescent="0.15"/>
  <cols>
    <col min="1" max="16384" width="8.875" style="2"/>
  </cols>
  <sheetData>
    <row r="1" spans="1:7" x14ac:dyDescent="0.15">
      <c r="A1" s="9" t="s">
        <v>6</v>
      </c>
      <c r="B1" s="9" t="s">
        <v>7</v>
      </c>
      <c r="C1" s="9" t="s">
        <v>8</v>
      </c>
      <c r="D1" s="9" t="s">
        <v>9</v>
      </c>
    </row>
    <row r="2" spans="1:7" x14ac:dyDescent="0.15">
      <c r="A2" s="8" t="s">
        <v>10</v>
      </c>
      <c r="B2" s="8">
        <v>30</v>
      </c>
      <c r="C2" s="8">
        <v>100</v>
      </c>
      <c r="D2" s="8" t="s">
        <v>11</v>
      </c>
      <c r="G2" s="3" t="s">
        <v>153</v>
      </c>
    </row>
    <row r="3" spans="1:7" x14ac:dyDescent="0.15">
      <c r="A3" s="8" t="s">
        <v>12</v>
      </c>
      <c r="B3" s="8">
        <v>60</v>
      </c>
      <c r="C3" s="8">
        <v>80</v>
      </c>
      <c r="D3" s="8" t="s">
        <v>13</v>
      </c>
      <c r="G3" s="3" t="s">
        <v>262</v>
      </c>
    </row>
    <row r="4" spans="1:7" x14ac:dyDescent="0.15">
      <c r="A4" s="8" t="s">
        <v>14</v>
      </c>
      <c r="B4" s="8">
        <v>45</v>
      </c>
      <c r="C4" s="8">
        <v>130</v>
      </c>
      <c r="D4" s="8" t="s">
        <v>15</v>
      </c>
      <c r="G4" s="3" t="s">
        <v>154</v>
      </c>
    </row>
    <row r="5" spans="1:7" x14ac:dyDescent="0.15">
      <c r="A5" s="8" t="s">
        <v>16</v>
      </c>
      <c r="B5" s="8">
        <v>50</v>
      </c>
      <c r="C5" s="8">
        <v>120</v>
      </c>
      <c r="D5" s="8" t="s">
        <v>17</v>
      </c>
      <c r="G5" s="3" t="s">
        <v>155</v>
      </c>
    </row>
    <row r="6" spans="1:7" x14ac:dyDescent="0.15">
      <c r="A6" s="8" t="s">
        <v>18</v>
      </c>
      <c r="B6" s="8">
        <v>55</v>
      </c>
      <c r="C6" s="8">
        <v>110</v>
      </c>
      <c r="D6" s="8" t="s">
        <v>19</v>
      </c>
      <c r="G6" s="3" t="s">
        <v>263</v>
      </c>
    </row>
    <row r="7" spans="1:7" x14ac:dyDescent="0.15">
      <c r="G7" s="3" t="s">
        <v>282</v>
      </c>
    </row>
    <row r="10" spans="1:7" x14ac:dyDescent="0.15">
      <c r="A10" s="9"/>
      <c r="B10" s="9"/>
      <c r="C10" s="9"/>
      <c r="D10" s="9"/>
    </row>
    <row r="11" spans="1:7" x14ac:dyDescent="0.15">
      <c r="A11" s="8"/>
      <c r="B11" s="8"/>
      <c r="C11" s="8"/>
      <c r="D11" s="8"/>
    </row>
    <row r="12" spans="1:7" x14ac:dyDescent="0.15">
      <c r="A12" s="8"/>
      <c r="B12" s="8"/>
      <c r="C12" s="8"/>
      <c r="D12" s="8"/>
    </row>
    <row r="13" spans="1:7" x14ac:dyDescent="0.15">
      <c r="A13" s="8"/>
      <c r="B13" s="8"/>
      <c r="C13" s="8"/>
      <c r="D13" s="8"/>
    </row>
    <row r="14" spans="1:7" x14ac:dyDescent="0.15">
      <c r="A14" s="8"/>
      <c r="B14" s="8"/>
      <c r="C14" s="8"/>
      <c r="D14" s="8"/>
    </row>
    <row r="15" spans="1:7" x14ac:dyDescent="0.15">
      <c r="A15" s="8"/>
      <c r="B15" s="8"/>
      <c r="C15" s="8"/>
      <c r="D15" s="8"/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51"/>
  <sheetViews>
    <sheetView workbookViewId="0"/>
  </sheetViews>
  <sheetFormatPr defaultColWidth="8.875" defaultRowHeight="13.15" customHeight="1" x14ac:dyDescent="0.15"/>
  <cols>
    <col min="1" max="1" width="3.5" style="2" bestFit="1" customWidth="1"/>
    <col min="2" max="2" width="12.375" style="2" bestFit="1" customWidth="1"/>
    <col min="3" max="3" width="18.75" style="2" bestFit="1" customWidth="1"/>
    <col min="4" max="4" width="5.75" style="2" bestFit="1" customWidth="1"/>
    <col min="5" max="5" width="7.875" style="2" bestFit="1" customWidth="1"/>
    <col min="6" max="6" width="11.625" style="2" bestFit="1" customWidth="1"/>
    <col min="7" max="16384" width="8.875" style="2"/>
  </cols>
  <sheetData>
    <row r="1" spans="1:9" ht="13.15" customHeight="1" x14ac:dyDescent="0.15">
      <c r="A1" s="13"/>
      <c r="B1" s="13" t="s">
        <v>20</v>
      </c>
      <c r="C1" s="13" t="s">
        <v>21</v>
      </c>
      <c r="D1" s="13" t="s">
        <v>22</v>
      </c>
      <c r="E1" s="13" t="s">
        <v>23</v>
      </c>
      <c r="F1" s="13" t="s">
        <v>24</v>
      </c>
    </row>
    <row r="2" spans="1:9" ht="13.15" customHeight="1" x14ac:dyDescent="0.15">
      <c r="A2" s="14">
        <v>1</v>
      </c>
      <c r="B2" s="15" t="s">
        <v>25</v>
      </c>
      <c r="C2" s="14" t="s">
        <v>26</v>
      </c>
      <c r="D2" s="14" t="s">
        <v>27</v>
      </c>
      <c r="E2" s="14" t="s">
        <v>267</v>
      </c>
      <c r="F2" s="16">
        <v>30642</v>
      </c>
      <c r="I2" s="3" t="s">
        <v>152</v>
      </c>
    </row>
    <row r="3" spans="1:9" ht="13.15" customHeight="1" x14ac:dyDescent="0.15">
      <c r="A3" s="14">
        <v>2</v>
      </c>
      <c r="B3" s="15" t="s">
        <v>29</v>
      </c>
      <c r="C3" s="14" t="s">
        <v>30</v>
      </c>
      <c r="D3" s="14" t="s">
        <v>31</v>
      </c>
      <c r="E3" s="14" t="s">
        <v>270</v>
      </c>
      <c r="F3" s="16">
        <v>27927</v>
      </c>
      <c r="I3" s="3" t="s">
        <v>264</v>
      </c>
    </row>
    <row r="4" spans="1:9" ht="13.15" customHeight="1" x14ac:dyDescent="0.15">
      <c r="A4" s="14">
        <v>3</v>
      </c>
      <c r="B4" s="15" t="s">
        <v>33</v>
      </c>
      <c r="C4" s="14" t="s">
        <v>34</v>
      </c>
      <c r="D4" s="14" t="s">
        <v>31</v>
      </c>
      <c r="E4" s="14" t="s">
        <v>268</v>
      </c>
      <c r="F4" s="16">
        <v>27363</v>
      </c>
      <c r="I4" s="3" t="s">
        <v>271</v>
      </c>
    </row>
    <row r="5" spans="1:9" ht="13.15" customHeight="1" x14ac:dyDescent="0.15">
      <c r="A5" s="14">
        <v>4</v>
      </c>
      <c r="B5" s="15" t="s">
        <v>36</v>
      </c>
      <c r="C5" s="14" t="s">
        <v>37</v>
      </c>
      <c r="D5" s="14" t="s">
        <v>31</v>
      </c>
      <c r="E5" s="14" t="s">
        <v>269</v>
      </c>
      <c r="F5" s="16">
        <v>32776</v>
      </c>
      <c r="I5" s="3" t="s">
        <v>272</v>
      </c>
    </row>
    <row r="6" spans="1:9" ht="13.15" customHeight="1" x14ac:dyDescent="0.15">
      <c r="A6" s="14">
        <v>5</v>
      </c>
      <c r="B6" s="15" t="s">
        <v>39</v>
      </c>
      <c r="C6" s="14" t="s">
        <v>40</v>
      </c>
      <c r="D6" s="14" t="s">
        <v>31</v>
      </c>
      <c r="E6" s="14" t="s">
        <v>269</v>
      </c>
      <c r="F6" s="16">
        <v>33446</v>
      </c>
      <c r="I6" s="3" t="s">
        <v>273</v>
      </c>
    </row>
    <row r="7" spans="1:9" ht="13.15" customHeight="1" x14ac:dyDescent="0.15">
      <c r="A7" s="14">
        <v>6</v>
      </c>
      <c r="B7" s="15" t="s">
        <v>41</v>
      </c>
      <c r="C7" s="14" t="s">
        <v>42</v>
      </c>
      <c r="D7" s="14" t="s">
        <v>31</v>
      </c>
      <c r="E7" s="14" t="s">
        <v>267</v>
      </c>
      <c r="F7" s="16">
        <v>29691</v>
      </c>
      <c r="I7" s="3" t="s">
        <v>274</v>
      </c>
    </row>
    <row r="8" spans="1:9" ht="13.15" customHeight="1" x14ac:dyDescent="0.15">
      <c r="A8" s="14">
        <v>7</v>
      </c>
      <c r="B8" s="15" t="s">
        <v>43</v>
      </c>
      <c r="C8" s="14" t="s">
        <v>44</v>
      </c>
      <c r="D8" s="14" t="s">
        <v>31</v>
      </c>
      <c r="E8" s="14" t="s">
        <v>267</v>
      </c>
      <c r="F8" s="16">
        <v>33224</v>
      </c>
      <c r="I8" s="3" t="s">
        <v>265</v>
      </c>
    </row>
    <row r="9" spans="1:9" ht="13.15" customHeight="1" x14ac:dyDescent="0.15">
      <c r="A9" s="14">
        <v>8</v>
      </c>
      <c r="B9" s="15" t="s">
        <v>45</v>
      </c>
      <c r="C9" s="14" t="s">
        <v>46</v>
      </c>
      <c r="D9" s="14" t="s">
        <v>27</v>
      </c>
      <c r="E9" s="14" t="s">
        <v>267</v>
      </c>
      <c r="F9" s="16">
        <v>33124</v>
      </c>
      <c r="I9" s="3" t="s">
        <v>266</v>
      </c>
    </row>
    <row r="10" spans="1:9" ht="13.15" customHeight="1" x14ac:dyDescent="0.15">
      <c r="A10" s="14">
        <v>9</v>
      </c>
      <c r="B10" s="15" t="s">
        <v>47</v>
      </c>
      <c r="C10" s="14" t="s">
        <v>48</v>
      </c>
      <c r="D10" s="14" t="s">
        <v>27</v>
      </c>
      <c r="E10" s="14" t="s">
        <v>267</v>
      </c>
      <c r="F10" s="16">
        <v>34697</v>
      </c>
    </row>
    <row r="11" spans="1:9" ht="13.15" customHeight="1" x14ac:dyDescent="0.15">
      <c r="A11" s="14">
        <v>10</v>
      </c>
      <c r="B11" s="15" t="s">
        <v>49</v>
      </c>
      <c r="C11" s="14" t="s">
        <v>50</v>
      </c>
      <c r="D11" s="14" t="s">
        <v>31</v>
      </c>
      <c r="E11" s="14" t="s">
        <v>268</v>
      </c>
      <c r="F11" s="16">
        <v>28696</v>
      </c>
    </row>
    <row r="12" spans="1:9" ht="13.15" customHeight="1" x14ac:dyDescent="0.15">
      <c r="A12" s="14">
        <v>11</v>
      </c>
      <c r="B12" s="15" t="s">
        <v>51</v>
      </c>
      <c r="C12" s="14" t="s">
        <v>52</v>
      </c>
      <c r="D12" s="14" t="s">
        <v>31</v>
      </c>
      <c r="E12" s="14" t="s">
        <v>267</v>
      </c>
      <c r="F12" s="16">
        <v>26418</v>
      </c>
    </row>
    <row r="13" spans="1:9" ht="13.15" customHeight="1" x14ac:dyDescent="0.15">
      <c r="A13" s="14">
        <v>12</v>
      </c>
      <c r="B13" s="15" t="s">
        <v>53</v>
      </c>
      <c r="C13" s="14" t="s">
        <v>54</v>
      </c>
      <c r="D13" s="14" t="s">
        <v>27</v>
      </c>
      <c r="E13" s="14" t="s">
        <v>268</v>
      </c>
      <c r="F13" s="16">
        <v>27811</v>
      </c>
    </row>
    <row r="14" spans="1:9" ht="13.15" customHeight="1" x14ac:dyDescent="0.15">
      <c r="A14" s="14">
        <v>13</v>
      </c>
      <c r="B14" s="15" t="s">
        <v>127</v>
      </c>
      <c r="C14" s="14" t="s">
        <v>128</v>
      </c>
      <c r="D14" s="14" t="s">
        <v>31</v>
      </c>
      <c r="E14" s="14" t="s">
        <v>269</v>
      </c>
      <c r="F14" s="16">
        <v>33123</v>
      </c>
    </row>
    <row r="15" spans="1:9" ht="13.15" customHeight="1" x14ac:dyDescent="0.15">
      <c r="A15" s="14">
        <v>14</v>
      </c>
      <c r="B15" s="15" t="s">
        <v>55</v>
      </c>
      <c r="C15" s="14" t="s">
        <v>56</v>
      </c>
      <c r="D15" s="14" t="s">
        <v>31</v>
      </c>
      <c r="E15" s="14" t="s">
        <v>269</v>
      </c>
      <c r="F15" s="16">
        <v>29997</v>
      </c>
    </row>
    <row r="16" spans="1:9" ht="13.15" customHeight="1" x14ac:dyDescent="0.15">
      <c r="A16" s="14">
        <v>15</v>
      </c>
      <c r="B16" s="15" t="s">
        <v>57</v>
      </c>
      <c r="C16" s="14" t="s">
        <v>58</v>
      </c>
      <c r="D16" s="14" t="s">
        <v>31</v>
      </c>
      <c r="E16" s="14" t="s">
        <v>270</v>
      </c>
      <c r="F16" s="16">
        <v>27474</v>
      </c>
    </row>
    <row r="17" spans="1:6" ht="13.15" customHeight="1" x14ac:dyDescent="0.15">
      <c r="A17" s="14">
        <v>16</v>
      </c>
      <c r="B17" s="15" t="s">
        <v>59</v>
      </c>
      <c r="C17" s="14" t="s">
        <v>60</v>
      </c>
      <c r="D17" s="14" t="s">
        <v>31</v>
      </c>
      <c r="E17" s="14" t="s">
        <v>267</v>
      </c>
      <c r="F17" s="16">
        <v>29463</v>
      </c>
    </row>
    <row r="18" spans="1:6" ht="13.15" customHeight="1" x14ac:dyDescent="0.15">
      <c r="A18" s="14">
        <v>17</v>
      </c>
      <c r="B18" s="15" t="s">
        <v>61</v>
      </c>
      <c r="C18" s="14" t="s">
        <v>62</v>
      </c>
      <c r="D18" s="14" t="s">
        <v>31</v>
      </c>
      <c r="E18" s="14" t="s">
        <v>267</v>
      </c>
      <c r="F18" s="16">
        <v>26414</v>
      </c>
    </row>
    <row r="19" spans="1:6" ht="13.15" customHeight="1" x14ac:dyDescent="0.15">
      <c r="A19" s="14">
        <v>18</v>
      </c>
      <c r="B19" s="15" t="s">
        <v>63</v>
      </c>
      <c r="C19" s="14" t="s">
        <v>64</v>
      </c>
      <c r="D19" s="14" t="s">
        <v>27</v>
      </c>
      <c r="E19" s="14" t="s">
        <v>269</v>
      </c>
      <c r="F19" s="16">
        <v>34241</v>
      </c>
    </row>
    <row r="20" spans="1:6" ht="13.15" customHeight="1" x14ac:dyDescent="0.15">
      <c r="A20" s="14">
        <v>19</v>
      </c>
      <c r="B20" s="15" t="s">
        <v>65</v>
      </c>
      <c r="C20" s="14" t="s">
        <v>66</v>
      </c>
      <c r="D20" s="14" t="s">
        <v>31</v>
      </c>
      <c r="E20" s="14" t="s">
        <v>269</v>
      </c>
      <c r="F20" s="16">
        <v>32582</v>
      </c>
    </row>
    <row r="21" spans="1:6" ht="13.15" customHeight="1" x14ac:dyDescent="0.15">
      <c r="A21" s="14">
        <v>20</v>
      </c>
      <c r="B21" s="15" t="s">
        <v>67</v>
      </c>
      <c r="C21" s="14" t="s">
        <v>68</v>
      </c>
      <c r="D21" s="14" t="s">
        <v>31</v>
      </c>
      <c r="E21" s="14" t="s">
        <v>269</v>
      </c>
      <c r="F21" s="16">
        <v>28455</v>
      </c>
    </row>
    <row r="22" spans="1:6" ht="13.15" customHeight="1" x14ac:dyDescent="0.15">
      <c r="A22" s="14">
        <v>21</v>
      </c>
      <c r="B22" s="15" t="s">
        <v>69</v>
      </c>
      <c r="C22" s="14" t="s">
        <v>70</v>
      </c>
      <c r="D22" s="14" t="s">
        <v>31</v>
      </c>
      <c r="E22" s="14" t="s">
        <v>267</v>
      </c>
      <c r="F22" s="16">
        <v>32661</v>
      </c>
    </row>
    <row r="23" spans="1:6" ht="13.15" customHeight="1" x14ac:dyDescent="0.15">
      <c r="A23" s="14">
        <v>22</v>
      </c>
      <c r="B23" s="15" t="s">
        <v>71</v>
      </c>
      <c r="C23" s="14" t="s">
        <v>72</v>
      </c>
      <c r="D23" s="14" t="s">
        <v>31</v>
      </c>
      <c r="E23" s="14" t="s">
        <v>268</v>
      </c>
      <c r="F23" s="16">
        <v>27365</v>
      </c>
    </row>
    <row r="24" spans="1:6" ht="13.15" customHeight="1" x14ac:dyDescent="0.15">
      <c r="A24" s="14">
        <v>23</v>
      </c>
      <c r="B24" s="15" t="s">
        <v>73</v>
      </c>
      <c r="C24" s="14" t="s">
        <v>74</v>
      </c>
      <c r="D24" s="14" t="s">
        <v>31</v>
      </c>
      <c r="E24" s="14" t="s">
        <v>267</v>
      </c>
      <c r="F24" s="16">
        <v>34678</v>
      </c>
    </row>
    <row r="25" spans="1:6" ht="13.15" customHeight="1" x14ac:dyDescent="0.15">
      <c r="A25" s="14">
        <v>24</v>
      </c>
      <c r="B25" s="15" t="s">
        <v>75</v>
      </c>
      <c r="C25" s="14" t="s">
        <v>76</v>
      </c>
      <c r="D25" s="14" t="s">
        <v>27</v>
      </c>
      <c r="E25" s="14" t="s">
        <v>268</v>
      </c>
      <c r="F25" s="16">
        <v>33255</v>
      </c>
    </row>
    <row r="26" spans="1:6" ht="13.15" customHeight="1" x14ac:dyDescent="0.15">
      <c r="A26" s="14">
        <v>25</v>
      </c>
      <c r="B26" s="15" t="s">
        <v>77</v>
      </c>
      <c r="C26" s="14" t="s">
        <v>78</v>
      </c>
      <c r="D26" s="14" t="s">
        <v>27</v>
      </c>
      <c r="E26" s="14" t="s">
        <v>267</v>
      </c>
      <c r="F26" s="16">
        <v>30591</v>
      </c>
    </row>
    <row r="27" spans="1:6" ht="13.15" customHeight="1" x14ac:dyDescent="0.15">
      <c r="A27" s="14">
        <v>26</v>
      </c>
      <c r="B27" s="15" t="s">
        <v>101</v>
      </c>
      <c r="C27" s="14" t="s">
        <v>102</v>
      </c>
      <c r="D27" s="14" t="s">
        <v>31</v>
      </c>
      <c r="E27" s="14" t="s">
        <v>267</v>
      </c>
      <c r="F27" s="16">
        <v>32763</v>
      </c>
    </row>
    <row r="28" spans="1:6" ht="13.15" customHeight="1" x14ac:dyDescent="0.15">
      <c r="A28" s="14">
        <v>27</v>
      </c>
      <c r="B28" s="15" t="s">
        <v>79</v>
      </c>
      <c r="C28" s="14" t="s">
        <v>80</v>
      </c>
      <c r="D28" s="14" t="s">
        <v>31</v>
      </c>
      <c r="E28" s="14" t="s">
        <v>268</v>
      </c>
      <c r="F28" s="16">
        <v>29113</v>
      </c>
    </row>
    <row r="29" spans="1:6" ht="13.15" customHeight="1" x14ac:dyDescent="0.15">
      <c r="A29" s="14">
        <v>28</v>
      </c>
      <c r="B29" s="15" t="s">
        <v>81</v>
      </c>
      <c r="C29" s="14" t="s">
        <v>82</v>
      </c>
      <c r="D29" s="14" t="s">
        <v>31</v>
      </c>
      <c r="E29" s="14" t="s">
        <v>268</v>
      </c>
      <c r="F29" s="16">
        <v>28317</v>
      </c>
    </row>
    <row r="30" spans="1:6" ht="13.15" customHeight="1" x14ac:dyDescent="0.15">
      <c r="A30" s="14">
        <v>29</v>
      </c>
      <c r="B30" s="15" t="s">
        <v>83</v>
      </c>
      <c r="C30" s="14" t="s">
        <v>84</v>
      </c>
      <c r="D30" s="14" t="s">
        <v>27</v>
      </c>
      <c r="E30" s="14" t="s">
        <v>269</v>
      </c>
      <c r="F30" s="16">
        <v>29526</v>
      </c>
    </row>
    <row r="31" spans="1:6" ht="13.15" customHeight="1" x14ac:dyDescent="0.15">
      <c r="A31" s="14">
        <v>30</v>
      </c>
      <c r="B31" s="15" t="s">
        <v>85</v>
      </c>
      <c r="C31" s="14" t="s">
        <v>86</v>
      </c>
      <c r="D31" s="14" t="s">
        <v>31</v>
      </c>
      <c r="E31" s="14" t="s">
        <v>270</v>
      </c>
      <c r="F31" s="16">
        <v>32631</v>
      </c>
    </row>
    <row r="32" spans="1:6" ht="13.15" customHeight="1" x14ac:dyDescent="0.15">
      <c r="A32" s="14">
        <v>31</v>
      </c>
      <c r="B32" s="15" t="s">
        <v>87</v>
      </c>
      <c r="C32" s="14" t="s">
        <v>88</v>
      </c>
      <c r="D32" s="14" t="s">
        <v>31</v>
      </c>
      <c r="E32" s="14" t="s">
        <v>267</v>
      </c>
      <c r="F32" s="16">
        <v>28078</v>
      </c>
    </row>
    <row r="33" spans="1:6" ht="13.15" customHeight="1" x14ac:dyDescent="0.15">
      <c r="A33" s="14">
        <v>32</v>
      </c>
      <c r="B33" s="15" t="s">
        <v>89</v>
      </c>
      <c r="C33" s="14" t="s">
        <v>90</v>
      </c>
      <c r="D33" s="14" t="s">
        <v>31</v>
      </c>
      <c r="E33" s="14" t="s">
        <v>268</v>
      </c>
      <c r="F33" s="16">
        <v>32426</v>
      </c>
    </row>
    <row r="34" spans="1:6" ht="13.15" customHeight="1" x14ac:dyDescent="0.15">
      <c r="A34" s="14">
        <v>33</v>
      </c>
      <c r="B34" s="15" t="s">
        <v>91</v>
      </c>
      <c r="C34" s="14" t="s">
        <v>92</v>
      </c>
      <c r="D34" s="14" t="s">
        <v>27</v>
      </c>
      <c r="E34" s="14" t="s">
        <v>267</v>
      </c>
      <c r="F34" s="16">
        <v>34396</v>
      </c>
    </row>
    <row r="35" spans="1:6" ht="13.15" customHeight="1" x14ac:dyDescent="0.15">
      <c r="A35" s="14">
        <v>34</v>
      </c>
      <c r="B35" s="15" t="s">
        <v>93</v>
      </c>
      <c r="C35" s="14" t="s">
        <v>94</v>
      </c>
      <c r="D35" s="14" t="s">
        <v>31</v>
      </c>
      <c r="E35" s="14" t="s">
        <v>267</v>
      </c>
      <c r="F35" s="16">
        <v>31407</v>
      </c>
    </row>
    <row r="36" spans="1:6" ht="13.15" customHeight="1" x14ac:dyDescent="0.15">
      <c r="A36" s="14">
        <v>35</v>
      </c>
      <c r="B36" s="15" t="s">
        <v>95</v>
      </c>
      <c r="C36" s="14" t="s">
        <v>96</v>
      </c>
      <c r="D36" s="14" t="s">
        <v>27</v>
      </c>
      <c r="E36" s="14" t="s">
        <v>268</v>
      </c>
      <c r="F36" s="16">
        <v>33163</v>
      </c>
    </row>
    <row r="37" spans="1:6" ht="13.15" customHeight="1" x14ac:dyDescent="0.15">
      <c r="A37" s="14">
        <v>36</v>
      </c>
      <c r="B37" s="15" t="s">
        <v>97</v>
      </c>
      <c r="C37" s="14" t="s">
        <v>98</v>
      </c>
      <c r="D37" s="14" t="s">
        <v>31</v>
      </c>
      <c r="E37" s="14" t="s">
        <v>269</v>
      </c>
      <c r="F37" s="16">
        <v>29524</v>
      </c>
    </row>
    <row r="38" spans="1:6" ht="13.15" customHeight="1" x14ac:dyDescent="0.15">
      <c r="A38" s="14">
        <v>37</v>
      </c>
      <c r="B38" s="15" t="s">
        <v>99</v>
      </c>
      <c r="C38" s="14" t="s">
        <v>100</v>
      </c>
      <c r="D38" s="14" t="s">
        <v>27</v>
      </c>
      <c r="E38" s="14" t="s">
        <v>268</v>
      </c>
      <c r="F38" s="16">
        <v>27226</v>
      </c>
    </row>
    <row r="39" spans="1:6" ht="13.15" customHeight="1" x14ac:dyDescent="0.15">
      <c r="A39" s="14">
        <v>38</v>
      </c>
      <c r="B39" s="15" t="s">
        <v>101</v>
      </c>
      <c r="C39" s="14" t="s">
        <v>102</v>
      </c>
      <c r="D39" s="14" t="s">
        <v>31</v>
      </c>
      <c r="E39" s="14" t="s">
        <v>267</v>
      </c>
      <c r="F39" s="16">
        <v>32763</v>
      </c>
    </row>
    <row r="40" spans="1:6" ht="13.15" customHeight="1" x14ac:dyDescent="0.15">
      <c r="A40" s="14">
        <v>39</v>
      </c>
      <c r="B40" s="15" t="s">
        <v>103</v>
      </c>
      <c r="C40" s="14" t="s">
        <v>104</v>
      </c>
      <c r="D40" s="14" t="s">
        <v>27</v>
      </c>
      <c r="E40" s="14" t="s">
        <v>268</v>
      </c>
      <c r="F40" s="16">
        <v>27313</v>
      </c>
    </row>
    <row r="41" spans="1:6" ht="13.15" customHeight="1" x14ac:dyDescent="0.15">
      <c r="A41" s="14">
        <v>40</v>
      </c>
      <c r="B41" s="15" t="s">
        <v>105</v>
      </c>
      <c r="C41" s="14" t="s">
        <v>106</v>
      </c>
      <c r="D41" s="14" t="s">
        <v>31</v>
      </c>
      <c r="E41" s="14" t="s">
        <v>269</v>
      </c>
      <c r="F41" s="16">
        <v>29849</v>
      </c>
    </row>
    <row r="42" spans="1:6" ht="13.15" customHeight="1" x14ac:dyDescent="0.15">
      <c r="A42" s="14">
        <v>41</v>
      </c>
      <c r="B42" s="15" t="s">
        <v>107</v>
      </c>
      <c r="C42" s="14" t="s">
        <v>108</v>
      </c>
      <c r="D42" s="14" t="s">
        <v>31</v>
      </c>
      <c r="E42" s="14" t="s">
        <v>267</v>
      </c>
      <c r="F42" s="16">
        <v>31778</v>
      </c>
    </row>
    <row r="43" spans="1:6" ht="13.15" customHeight="1" x14ac:dyDescent="0.15">
      <c r="A43" s="14">
        <v>42</v>
      </c>
      <c r="B43" s="15" t="s">
        <v>109</v>
      </c>
      <c r="C43" s="14" t="s">
        <v>110</v>
      </c>
      <c r="D43" s="14" t="s">
        <v>31</v>
      </c>
      <c r="E43" s="14" t="s">
        <v>268</v>
      </c>
      <c r="F43" s="16">
        <v>30127</v>
      </c>
    </row>
    <row r="44" spans="1:6" ht="13.15" customHeight="1" x14ac:dyDescent="0.15">
      <c r="A44" s="14">
        <v>43</v>
      </c>
      <c r="B44" s="15" t="s">
        <v>111</v>
      </c>
      <c r="C44" s="14" t="s">
        <v>112</v>
      </c>
      <c r="D44" s="14" t="s">
        <v>31</v>
      </c>
      <c r="E44" s="14" t="s">
        <v>269</v>
      </c>
      <c r="F44" s="16">
        <v>25812</v>
      </c>
    </row>
    <row r="45" spans="1:6" ht="13.15" customHeight="1" x14ac:dyDescent="0.15">
      <c r="A45" s="14">
        <v>44</v>
      </c>
      <c r="B45" s="15" t="s">
        <v>113</v>
      </c>
      <c r="C45" s="14" t="s">
        <v>114</v>
      </c>
      <c r="D45" s="14" t="s">
        <v>31</v>
      </c>
      <c r="E45" s="14" t="s">
        <v>269</v>
      </c>
      <c r="F45" s="16">
        <v>31399</v>
      </c>
    </row>
    <row r="46" spans="1:6" ht="13.15" customHeight="1" x14ac:dyDescent="0.15">
      <c r="A46" s="14">
        <v>45</v>
      </c>
      <c r="B46" s="15" t="s">
        <v>115</v>
      </c>
      <c r="C46" s="14" t="s">
        <v>116</v>
      </c>
      <c r="D46" s="14" t="s">
        <v>31</v>
      </c>
      <c r="E46" s="14" t="s">
        <v>267</v>
      </c>
      <c r="F46" s="16">
        <v>26068</v>
      </c>
    </row>
    <row r="47" spans="1:6" ht="13.15" customHeight="1" x14ac:dyDescent="0.15">
      <c r="A47" s="14">
        <v>46</v>
      </c>
      <c r="B47" s="15" t="s">
        <v>117</v>
      </c>
      <c r="C47" s="14" t="s">
        <v>118</v>
      </c>
      <c r="D47" s="14" t="s">
        <v>27</v>
      </c>
      <c r="E47" s="14" t="s">
        <v>269</v>
      </c>
      <c r="F47" s="16">
        <v>26004</v>
      </c>
    </row>
    <row r="48" spans="1:6" ht="13.15" customHeight="1" x14ac:dyDescent="0.15">
      <c r="A48" s="14">
        <v>47</v>
      </c>
      <c r="B48" s="15" t="s">
        <v>119</v>
      </c>
      <c r="C48" s="14" t="s">
        <v>120</v>
      </c>
      <c r="D48" s="14" t="s">
        <v>27</v>
      </c>
      <c r="E48" s="14" t="s">
        <v>270</v>
      </c>
      <c r="F48" s="16">
        <v>34430</v>
      </c>
    </row>
    <row r="49" spans="1:6" ht="13.15" customHeight="1" x14ac:dyDescent="0.15">
      <c r="A49" s="14">
        <v>48</v>
      </c>
      <c r="B49" s="15" t="s">
        <v>121</v>
      </c>
      <c r="C49" s="14" t="s">
        <v>122</v>
      </c>
      <c r="D49" s="14" t="s">
        <v>27</v>
      </c>
      <c r="E49" s="14" t="s">
        <v>270</v>
      </c>
      <c r="F49" s="16">
        <v>33073</v>
      </c>
    </row>
    <row r="50" spans="1:6" ht="13.15" customHeight="1" x14ac:dyDescent="0.15">
      <c r="A50" s="14">
        <v>49</v>
      </c>
      <c r="B50" s="15" t="s">
        <v>123</v>
      </c>
      <c r="C50" s="14" t="s">
        <v>124</v>
      </c>
      <c r="D50" s="14" t="s">
        <v>31</v>
      </c>
      <c r="E50" s="14" t="s">
        <v>268</v>
      </c>
      <c r="F50" s="16">
        <v>27979</v>
      </c>
    </row>
    <row r="51" spans="1:6" ht="13.15" customHeight="1" x14ac:dyDescent="0.15">
      <c r="A51" s="14">
        <v>50</v>
      </c>
      <c r="B51" s="15" t="s">
        <v>125</v>
      </c>
      <c r="C51" s="14" t="s">
        <v>126</v>
      </c>
      <c r="D51" s="14" t="s">
        <v>31</v>
      </c>
      <c r="E51" s="14" t="s">
        <v>270</v>
      </c>
      <c r="F51" s="16">
        <v>29565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89"/>
  <sheetViews>
    <sheetView zoomScaleNormal="100" workbookViewId="0"/>
  </sheetViews>
  <sheetFormatPr defaultColWidth="8.875" defaultRowHeight="13.5" x14ac:dyDescent="0.15"/>
  <cols>
    <col min="1" max="16384" width="8.875" style="2"/>
  </cols>
  <sheetData>
    <row r="1" spans="1:7" x14ac:dyDescent="0.15">
      <c r="A1" s="9" t="s">
        <v>6</v>
      </c>
      <c r="B1" s="9" t="s">
        <v>7</v>
      </c>
      <c r="C1" s="9" t="s">
        <v>8</v>
      </c>
      <c r="D1" s="9" t="s">
        <v>9</v>
      </c>
    </row>
    <row r="2" spans="1:7" x14ac:dyDescent="0.15">
      <c r="A2" s="8" t="s">
        <v>10</v>
      </c>
      <c r="B2" s="8">
        <v>30</v>
      </c>
      <c r="C2" s="8">
        <v>100</v>
      </c>
      <c r="D2" s="8" t="s">
        <v>11</v>
      </c>
      <c r="G2" s="3" t="s">
        <v>151</v>
      </c>
    </row>
    <row r="3" spans="1:7" x14ac:dyDescent="0.15">
      <c r="A3" s="8" t="s">
        <v>12</v>
      </c>
      <c r="B3" s="8">
        <v>60</v>
      </c>
      <c r="C3" s="8">
        <v>80</v>
      </c>
      <c r="D3" s="8" t="s">
        <v>13</v>
      </c>
      <c r="G3" s="3" t="s">
        <v>149</v>
      </c>
    </row>
    <row r="4" spans="1:7" x14ac:dyDescent="0.15">
      <c r="A4" s="8" t="s">
        <v>14</v>
      </c>
      <c r="B4" s="8">
        <v>45</v>
      </c>
      <c r="C4" s="8">
        <v>130</v>
      </c>
      <c r="D4" s="8" t="s">
        <v>15</v>
      </c>
      <c r="G4" s="2" t="s">
        <v>129</v>
      </c>
    </row>
    <row r="5" spans="1:7" x14ac:dyDescent="0.15">
      <c r="A5" s="8" t="s">
        <v>16</v>
      </c>
      <c r="B5" s="8">
        <v>50</v>
      </c>
      <c r="C5" s="8">
        <v>120</v>
      </c>
      <c r="D5" s="8" t="s">
        <v>17</v>
      </c>
    </row>
    <row r="6" spans="1:7" x14ac:dyDescent="0.15">
      <c r="A6" s="8" t="s">
        <v>18</v>
      </c>
      <c r="B6" s="8">
        <v>55</v>
      </c>
      <c r="C6" s="8">
        <v>110</v>
      </c>
      <c r="D6" s="8" t="s">
        <v>19</v>
      </c>
    </row>
    <row r="8" spans="1:7" ht="14.25" thickBot="1" x14ac:dyDescent="0.2">
      <c r="A8" s="2" t="s">
        <v>275</v>
      </c>
    </row>
    <row r="9" spans="1:7" x14ac:dyDescent="0.15">
      <c r="A9" s="130"/>
      <c r="B9" s="131"/>
      <c r="C9" s="131"/>
      <c r="D9" s="131"/>
      <c r="E9" s="132"/>
    </row>
    <row r="10" spans="1:7" x14ac:dyDescent="0.15">
      <c r="A10" s="133"/>
      <c r="E10" s="134"/>
    </row>
    <row r="11" spans="1:7" x14ac:dyDescent="0.15">
      <c r="A11" s="133"/>
      <c r="E11" s="134"/>
    </row>
    <row r="12" spans="1:7" x14ac:dyDescent="0.15">
      <c r="A12" s="133"/>
      <c r="E12" s="134"/>
    </row>
    <row r="13" spans="1:7" x14ac:dyDescent="0.15">
      <c r="A13" s="133"/>
      <c r="E13" s="134"/>
    </row>
    <row r="14" spans="1:7" x14ac:dyDescent="0.15">
      <c r="A14" s="133"/>
      <c r="E14" s="134"/>
    </row>
    <row r="15" spans="1:7" x14ac:dyDescent="0.15">
      <c r="A15" s="133"/>
      <c r="E15" s="134"/>
    </row>
    <row r="16" spans="1:7" x14ac:dyDescent="0.15">
      <c r="A16" s="133"/>
      <c r="E16" s="134"/>
      <c r="G16" s="2" t="s">
        <v>131</v>
      </c>
    </row>
    <row r="17" spans="1:16" x14ac:dyDescent="0.15">
      <c r="A17" s="133"/>
      <c r="E17" s="134"/>
      <c r="G17" s="2" t="s">
        <v>130</v>
      </c>
      <c r="P17" s="2" t="s">
        <v>129</v>
      </c>
    </row>
    <row r="18" spans="1:16" x14ac:dyDescent="0.15">
      <c r="A18" s="133"/>
      <c r="E18" s="134"/>
    </row>
    <row r="19" spans="1:16" ht="14.25" thickBot="1" x14ac:dyDescent="0.2">
      <c r="A19" s="135"/>
      <c r="B19" s="136"/>
      <c r="C19" s="136"/>
      <c r="D19" s="136"/>
      <c r="E19" s="137"/>
    </row>
    <row r="22" spans="1:16" ht="14.25" thickBot="1" x14ac:dyDescent="0.2">
      <c r="A22" s="2" t="s">
        <v>276</v>
      </c>
    </row>
    <row r="23" spans="1:16" x14ac:dyDescent="0.15">
      <c r="A23" s="130"/>
      <c r="B23" s="131"/>
      <c r="C23" s="131"/>
      <c r="D23" s="131"/>
      <c r="E23" s="132"/>
    </row>
    <row r="24" spans="1:16" x14ac:dyDescent="0.15">
      <c r="A24" s="133"/>
      <c r="E24" s="134"/>
    </row>
    <row r="25" spans="1:16" x14ac:dyDescent="0.15">
      <c r="A25" s="133"/>
      <c r="E25" s="134"/>
    </row>
    <row r="26" spans="1:16" x14ac:dyDescent="0.15">
      <c r="A26" s="133"/>
      <c r="E26" s="134"/>
    </row>
    <row r="27" spans="1:16" x14ac:dyDescent="0.15">
      <c r="A27" s="133"/>
      <c r="E27" s="134"/>
    </row>
    <row r="28" spans="1:16" x14ac:dyDescent="0.15">
      <c r="A28" s="133"/>
      <c r="E28" s="134"/>
    </row>
    <row r="29" spans="1:16" x14ac:dyDescent="0.15">
      <c r="A29" s="133"/>
      <c r="E29" s="134"/>
    </row>
    <row r="30" spans="1:16" x14ac:dyDescent="0.15">
      <c r="A30" s="133"/>
      <c r="E30" s="134"/>
    </row>
    <row r="31" spans="1:16" x14ac:dyDescent="0.15">
      <c r="A31" s="133"/>
      <c r="E31" s="134"/>
      <c r="G31" s="2" t="s">
        <v>132</v>
      </c>
    </row>
    <row r="32" spans="1:16" x14ac:dyDescent="0.15">
      <c r="A32" s="133"/>
      <c r="E32" s="134"/>
      <c r="G32" s="2" t="s">
        <v>129</v>
      </c>
    </row>
    <row r="33" spans="1:7" ht="14.25" thickBot="1" x14ac:dyDescent="0.2">
      <c r="A33" s="135"/>
      <c r="B33" s="136"/>
      <c r="C33" s="136"/>
      <c r="D33" s="136"/>
      <c r="E33" s="137"/>
    </row>
    <row r="36" spans="1:7" ht="14.25" thickBot="1" x14ac:dyDescent="0.2">
      <c r="A36" s="2" t="s">
        <v>277</v>
      </c>
    </row>
    <row r="37" spans="1:7" x14ac:dyDescent="0.15">
      <c r="A37" s="130"/>
      <c r="B37" s="131"/>
      <c r="C37" s="131"/>
      <c r="D37" s="131"/>
      <c r="E37" s="132"/>
    </row>
    <row r="38" spans="1:7" x14ac:dyDescent="0.15">
      <c r="A38" s="133"/>
      <c r="E38" s="134"/>
    </row>
    <row r="39" spans="1:7" x14ac:dyDescent="0.15">
      <c r="A39" s="133"/>
      <c r="E39" s="134"/>
    </row>
    <row r="40" spans="1:7" x14ac:dyDescent="0.15">
      <c r="A40" s="133"/>
      <c r="E40" s="134"/>
    </row>
    <row r="41" spans="1:7" x14ac:dyDescent="0.15">
      <c r="A41" s="133"/>
      <c r="E41" s="134"/>
    </row>
    <row r="42" spans="1:7" x14ac:dyDescent="0.15">
      <c r="A42" s="133"/>
      <c r="E42" s="134"/>
    </row>
    <row r="43" spans="1:7" x14ac:dyDescent="0.15">
      <c r="A43" s="133"/>
      <c r="E43" s="134"/>
    </row>
    <row r="44" spans="1:7" x14ac:dyDescent="0.15">
      <c r="A44" s="133"/>
      <c r="E44" s="134"/>
    </row>
    <row r="45" spans="1:7" x14ac:dyDescent="0.15">
      <c r="A45" s="133"/>
      <c r="E45" s="134"/>
    </row>
    <row r="46" spans="1:7" x14ac:dyDescent="0.15">
      <c r="A46" s="133"/>
      <c r="E46" s="134"/>
    </row>
    <row r="47" spans="1:7" ht="14.25" thickBot="1" x14ac:dyDescent="0.2">
      <c r="A47" s="135"/>
      <c r="B47" s="136"/>
      <c r="C47" s="136"/>
      <c r="D47" s="136"/>
      <c r="E47" s="137"/>
      <c r="G47" s="2" t="s">
        <v>133</v>
      </c>
    </row>
    <row r="48" spans="1:7" x14ac:dyDescent="0.15">
      <c r="G48" s="2" t="s">
        <v>129</v>
      </c>
    </row>
    <row r="50" spans="1:7" ht="14.25" thickBot="1" x14ac:dyDescent="0.2">
      <c r="A50" s="2" t="s">
        <v>278</v>
      </c>
    </row>
    <row r="51" spans="1:7" x14ac:dyDescent="0.15">
      <c r="A51" s="130"/>
      <c r="B51" s="131"/>
      <c r="C51" s="131"/>
      <c r="D51" s="131"/>
      <c r="E51" s="132"/>
    </row>
    <row r="52" spans="1:7" x14ac:dyDescent="0.15">
      <c r="A52" s="133"/>
      <c r="E52" s="134"/>
    </row>
    <row r="53" spans="1:7" x14ac:dyDescent="0.15">
      <c r="A53" s="133"/>
      <c r="E53" s="134"/>
    </row>
    <row r="54" spans="1:7" x14ac:dyDescent="0.15">
      <c r="A54" s="133"/>
      <c r="E54" s="134"/>
    </row>
    <row r="55" spans="1:7" x14ac:dyDescent="0.15">
      <c r="A55" s="133"/>
      <c r="E55" s="134"/>
    </row>
    <row r="56" spans="1:7" x14ac:dyDescent="0.15">
      <c r="A56" s="133"/>
      <c r="E56" s="134"/>
    </row>
    <row r="57" spans="1:7" x14ac:dyDescent="0.15">
      <c r="A57" s="133"/>
      <c r="E57" s="134"/>
    </row>
    <row r="58" spans="1:7" x14ac:dyDescent="0.15">
      <c r="A58" s="133"/>
      <c r="E58" s="134"/>
    </row>
    <row r="59" spans="1:7" x14ac:dyDescent="0.15">
      <c r="A59" s="133"/>
      <c r="E59" s="134"/>
    </row>
    <row r="60" spans="1:7" x14ac:dyDescent="0.15">
      <c r="A60" s="133"/>
      <c r="E60" s="134"/>
    </row>
    <row r="61" spans="1:7" ht="14.25" thickBot="1" x14ac:dyDescent="0.2">
      <c r="A61" s="135"/>
      <c r="B61" s="136"/>
      <c r="C61" s="136"/>
      <c r="D61" s="136"/>
      <c r="E61" s="137"/>
    </row>
    <row r="62" spans="1:7" x14ac:dyDescent="0.15">
      <c r="G62" s="2" t="s">
        <v>134</v>
      </c>
    </row>
    <row r="63" spans="1:7" x14ac:dyDescent="0.15">
      <c r="G63" s="2" t="s">
        <v>129</v>
      </c>
    </row>
    <row r="64" spans="1:7" ht="14.25" thickBot="1" x14ac:dyDescent="0.2">
      <c r="A64" s="2" t="s">
        <v>279</v>
      </c>
    </row>
    <row r="65" spans="1:7" x14ac:dyDescent="0.15">
      <c r="A65" s="130"/>
      <c r="B65" s="131"/>
      <c r="C65" s="131"/>
      <c r="D65" s="131"/>
      <c r="E65" s="132"/>
    </row>
    <row r="66" spans="1:7" x14ac:dyDescent="0.15">
      <c r="A66" s="133"/>
      <c r="E66" s="134"/>
    </row>
    <row r="67" spans="1:7" x14ac:dyDescent="0.15">
      <c r="A67" s="133"/>
      <c r="E67" s="134"/>
    </row>
    <row r="68" spans="1:7" x14ac:dyDescent="0.15">
      <c r="A68" s="133"/>
      <c r="E68" s="134"/>
    </row>
    <row r="69" spans="1:7" x14ac:dyDescent="0.15">
      <c r="A69" s="133"/>
      <c r="E69" s="134"/>
    </row>
    <row r="70" spans="1:7" x14ac:dyDescent="0.15">
      <c r="A70" s="133"/>
      <c r="E70" s="134"/>
    </row>
    <row r="71" spans="1:7" x14ac:dyDescent="0.15">
      <c r="A71" s="133"/>
      <c r="E71" s="134"/>
    </row>
    <row r="72" spans="1:7" x14ac:dyDescent="0.15">
      <c r="A72" s="133"/>
      <c r="E72" s="134"/>
    </row>
    <row r="73" spans="1:7" x14ac:dyDescent="0.15">
      <c r="A73" s="133"/>
      <c r="E73" s="134"/>
    </row>
    <row r="74" spans="1:7" x14ac:dyDescent="0.15">
      <c r="A74" s="133"/>
      <c r="E74" s="134"/>
    </row>
    <row r="75" spans="1:7" ht="14.25" thickBot="1" x14ac:dyDescent="0.2">
      <c r="A75" s="135"/>
      <c r="B75" s="136"/>
      <c r="C75" s="136"/>
      <c r="D75" s="136"/>
      <c r="E75" s="137"/>
    </row>
    <row r="77" spans="1:7" x14ac:dyDescent="0.15">
      <c r="G77" s="2" t="s">
        <v>135</v>
      </c>
    </row>
    <row r="78" spans="1:7" ht="14.25" thickBot="1" x14ac:dyDescent="0.2">
      <c r="A78" s="2" t="s">
        <v>280</v>
      </c>
      <c r="G78" s="2" t="s">
        <v>129</v>
      </c>
    </row>
    <row r="79" spans="1:7" x14ac:dyDescent="0.15">
      <c r="A79" s="130"/>
      <c r="B79" s="131"/>
      <c r="C79" s="131"/>
      <c r="D79" s="131"/>
      <c r="E79" s="132"/>
    </row>
    <row r="80" spans="1:7" x14ac:dyDescent="0.15">
      <c r="A80" s="133"/>
      <c r="E80" s="134"/>
    </row>
    <row r="81" spans="1:5" x14ac:dyDescent="0.15">
      <c r="A81" s="133"/>
      <c r="E81" s="134"/>
    </row>
    <row r="82" spans="1:5" x14ac:dyDescent="0.15">
      <c r="A82" s="133"/>
      <c r="E82" s="134"/>
    </row>
    <row r="83" spans="1:5" x14ac:dyDescent="0.15">
      <c r="A83" s="133"/>
      <c r="E83" s="134"/>
    </row>
    <row r="84" spans="1:5" x14ac:dyDescent="0.15">
      <c r="A84" s="133"/>
      <c r="E84" s="134"/>
    </row>
    <row r="85" spans="1:5" x14ac:dyDescent="0.15">
      <c r="A85" s="133"/>
      <c r="E85" s="134"/>
    </row>
    <row r="86" spans="1:5" x14ac:dyDescent="0.15">
      <c r="A86" s="133"/>
      <c r="E86" s="134"/>
    </row>
    <row r="87" spans="1:5" x14ac:dyDescent="0.15">
      <c r="A87" s="133"/>
      <c r="E87" s="134"/>
    </row>
    <row r="88" spans="1:5" x14ac:dyDescent="0.15">
      <c r="A88" s="133"/>
      <c r="E88" s="134"/>
    </row>
    <row r="89" spans="1:5" ht="14.25" thickBot="1" x14ac:dyDescent="0.2">
      <c r="A89" s="135"/>
      <c r="B89" s="136"/>
      <c r="C89" s="136"/>
      <c r="D89" s="136"/>
      <c r="E89" s="137"/>
    </row>
  </sheetData>
  <phoneticPr fontId="3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3"/>
  <sheetViews>
    <sheetView workbookViewId="0"/>
  </sheetViews>
  <sheetFormatPr defaultColWidth="8.875" defaultRowHeight="13.5" x14ac:dyDescent="0.15"/>
  <cols>
    <col min="1" max="16384" width="8.875" style="2"/>
  </cols>
  <sheetData>
    <row r="1" spans="1:7" x14ac:dyDescent="0.15">
      <c r="A1" s="9" t="s">
        <v>6</v>
      </c>
      <c r="B1" s="9" t="s">
        <v>7</v>
      </c>
      <c r="C1" s="9" t="s">
        <v>8</v>
      </c>
      <c r="D1" s="9" t="s">
        <v>9</v>
      </c>
    </row>
    <row r="2" spans="1:7" x14ac:dyDescent="0.15">
      <c r="A2" s="8" t="s">
        <v>10</v>
      </c>
      <c r="B2" s="8">
        <v>30</v>
      </c>
      <c r="C2" s="8">
        <v>100</v>
      </c>
      <c r="D2" s="8" t="s">
        <v>11</v>
      </c>
      <c r="G2" s="3" t="s">
        <v>150</v>
      </c>
    </row>
    <row r="3" spans="1:7" x14ac:dyDescent="0.15">
      <c r="A3" s="8" t="s">
        <v>12</v>
      </c>
      <c r="B3" s="8">
        <v>60</v>
      </c>
      <c r="C3" s="8">
        <v>80</v>
      </c>
      <c r="D3" s="8" t="s">
        <v>13</v>
      </c>
      <c r="G3" s="3" t="s">
        <v>141</v>
      </c>
    </row>
    <row r="4" spans="1:7" x14ac:dyDescent="0.15">
      <c r="A4" s="8" t="s">
        <v>14</v>
      </c>
      <c r="B4" s="8">
        <v>45</v>
      </c>
      <c r="C4" s="8">
        <v>130</v>
      </c>
      <c r="D4" s="8" t="s">
        <v>15</v>
      </c>
      <c r="G4" s="3" t="s">
        <v>142</v>
      </c>
    </row>
    <row r="5" spans="1:7" x14ac:dyDescent="0.15">
      <c r="A5" s="8" t="s">
        <v>16</v>
      </c>
      <c r="B5" s="8">
        <v>50</v>
      </c>
      <c r="C5" s="8">
        <v>120</v>
      </c>
      <c r="D5" s="8" t="s">
        <v>17</v>
      </c>
      <c r="G5" s="3" t="s">
        <v>143</v>
      </c>
    </row>
    <row r="6" spans="1:7" ht="14.25" thickBot="1" x14ac:dyDescent="0.2">
      <c r="A6" s="10" t="s">
        <v>18</v>
      </c>
      <c r="B6" s="10">
        <v>55</v>
      </c>
      <c r="C6" s="10">
        <v>110</v>
      </c>
      <c r="D6" s="8" t="s">
        <v>19</v>
      </c>
      <c r="G6" s="3" t="s">
        <v>144</v>
      </c>
    </row>
    <row r="7" spans="1:7" ht="14.25" thickBot="1" x14ac:dyDescent="0.2">
      <c r="A7" s="6" t="s">
        <v>136</v>
      </c>
      <c r="B7" s="138"/>
      <c r="C7" s="139"/>
      <c r="G7" s="3" t="s">
        <v>145</v>
      </c>
    </row>
    <row r="8" spans="1:7" ht="14.25" thickBot="1" x14ac:dyDescent="0.2">
      <c r="A8" s="6" t="s">
        <v>137</v>
      </c>
      <c r="B8" s="138"/>
      <c r="C8" s="139"/>
      <c r="G8" s="3" t="s">
        <v>146</v>
      </c>
    </row>
    <row r="9" spans="1:7" ht="14.25" thickBot="1" x14ac:dyDescent="0.2">
      <c r="A9" s="6" t="s">
        <v>138</v>
      </c>
      <c r="B9" s="138"/>
      <c r="C9" s="139"/>
      <c r="G9" s="3" t="s">
        <v>147</v>
      </c>
    </row>
    <row r="10" spans="1:7" ht="14.25" thickBot="1" x14ac:dyDescent="0.2">
      <c r="A10" s="6" t="s">
        <v>139</v>
      </c>
      <c r="B10" s="138"/>
      <c r="C10" s="139"/>
      <c r="G10" s="3" t="s">
        <v>148</v>
      </c>
    </row>
    <row r="13" spans="1:7" x14ac:dyDescent="0.15">
      <c r="G13" s="3" t="s">
        <v>129</v>
      </c>
    </row>
  </sheetData>
  <phoneticPr fontId="3"/>
  <conditionalFormatting sqref="B7:C10">
    <cfRule type="containsBlanks" dxfId="8" priority="1">
      <formula>LEN(TRIM(B7))=0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13"/>
  <sheetViews>
    <sheetView workbookViewId="0"/>
  </sheetViews>
  <sheetFormatPr defaultColWidth="8.875" defaultRowHeight="13.5" x14ac:dyDescent="0.15"/>
  <cols>
    <col min="1" max="1" width="12.375" style="2" bestFit="1" customWidth="1"/>
    <col min="2" max="2" width="8.875" style="2" customWidth="1"/>
    <col min="3" max="3" width="8.875" style="2"/>
    <col min="4" max="4" width="11.625" style="2" bestFit="1" customWidth="1"/>
    <col min="5" max="6" width="8.875" style="2" customWidth="1"/>
    <col min="7" max="16384" width="8.875" style="2"/>
  </cols>
  <sheetData>
    <row r="1" spans="1:8" x14ac:dyDescent="0.15">
      <c r="G1" s="3"/>
    </row>
    <row r="2" spans="1:8" x14ac:dyDescent="0.15">
      <c r="A2" s="2" t="s">
        <v>252</v>
      </c>
    </row>
    <row r="3" spans="1:8" x14ac:dyDescent="0.15">
      <c r="A3" s="7" t="s">
        <v>20</v>
      </c>
      <c r="B3" s="7" t="s">
        <v>22</v>
      </c>
      <c r="C3" s="7" t="s">
        <v>23</v>
      </c>
      <c r="D3" s="7" t="s">
        <v>24</v>
      </c>
      <c r="E3" s="7" t="s">
        <v>140</v>
      </c>
      <c r="G3" s="3" t="s">
        <v>150</v>
      </c>
    </row>
    <row r="4" spans="1:8" x14ac:dyDescent="0.15">
      <c r="A4" s="8" t="s">
        <v>25</v>
      </c>
      <c r="B4" s="8" t="s">
        <v>27</v>
      </c>
      <c r="C4" s="8" t="s">
        <v>28</v>
      </c>
      <c r="D4" s="12">
        <v>30642</v>
      </c>
      <c r="E4" s="12"/>
      <c r="G4" s="2" t="s">
        <v>255</v>
      </c>
    </row>
    <row r="5" spans="1:8" x14ac:dyDescent="0.15">
      <c r="A5" s="8" t="s">
        <v>29</v>
      </c>
      <c r="B5" s="8" t="s">
        <v>31</v>
      </c>
      <c r="C5" s="8" t="s">
        <v>32</v>
      </c>
      <c r="D5" s="12">
        <v>27927</v>
      </c>
      <c r="E5" s="12"/>
      <c r="G5" s="2" t="s">
        <v>254</v>
      </c>
    </row>
    <row r="6" spans="1:8" x14ac:dyDescent="0.15">
      <c r="A6" s="8" t="s">
        <v>33</v>
      </c>
      <c r="B6" s="8" t="s">
        <v>31</v>
      </c>
      <c r="C6" s="8" t="s">
        <v>35</v>
      </c>
      <c r="D6" s="12">
        <v>27363</v>
      </c>
      <c r="E6" s="12"/>
    </row>
    <row r="7" spans="1:8" x14ac:dyDescent="0.15">
      <c r="A7" s="8" t="s">
        <v>36</v>
      </c>
      <c r="B7" s="8" t="s">
        <v>31</v>
      </c>
      <c r="C7" s="8" t="s">
        <v>38</v>
      </c>
      <c r="D7" s="12">
        <v>32516</v>
      </c>
      <c r="E7" s="12"/>
      <c r="G7" s="143" t="s">
        <v>162</v>
      </c>
      <c r="H7" s="143"/>
    </row>
    <row r="8" spans="1:8" x14ac:dyDescent="0.15">
      <c r="A8" s="8" t="s">
        <v>39</v>
      </c>
      <c r="B8" s="8" t="s">
        <v>31</v>
      </c>
      <c r="C8" s="8" t="s">
        <v>38</v>
      </c>
      <c r="D8" s="12">
        <v>33446</v>
      </c>
      <c r="E8" s="12"/>
      <c r="G8" s="144">
        <v>32516</v>
      </c>
      <c r="H8" s="144"/>
    </row>
    <row r="9" spans="1:8" x14ac:dyDescent="0.15">
      <c r="A9" s="8" t="s">
        <v>41</v>
      </c>
      <c r="B9" s="8" t="s">
        <v>31</v>
      </c>
      <c r="C9" s="8" t="s">
        <v>28</v>
      </c>
      <c r="D9" s="12">
        <v>29691</v>
      </c>
      <c r="E9" s="12"/>
    </row>
    <row r="10" spans="1:8" x14ac:dyDescent="0.15">
      <c r="A10" s="8" t="s">
        <v>43</v>
      </c>
      <c r="B10" s="8" t="s">
        <v>31</v>
      </c>
      <c r="C10" s="8" t="s">
        <v>28</v>
      </c>
      <c r="D10" s="12">
        <v>33224</v>
      </c>
      <c r="E10" s="12"/>
    </row>
    <row r="11" spans="1:8" x14ac:dyDescent="0.15">
      <c r="A11" s="8" t="s">
        <v>45</v>
      </c>
      <c r="B11" s="8" t="s">
        <v>27</v>
      </c>
      <c r="C11" s="8" t="s">
        <v>28</v>
      </c>
      <c r="D11" s="12">
        <v>33124</v>
      </c>
      <c r="E11" s="12"/>
    </row>
    <row r="12" spans="1:8" x14ac:dyDescent="0.15">
      <c r="A12" s="8" t="s">
        <v>47</v>
      </c>
      <c r="B12" s="8" t="s">
        <v>27</v>
      </c>
      <c r="C12" s="8" t="s">
        <v>28</v>
      </c>
      <c r="D12" s="12">
        <v>34697</v>
      </c>
      <c r="E12" s="12"/>
    </row>
    <row r="13" spans="1:8" x14ac:dyDescent="0.15">
      <c r="A13" s="8" t="s">
        <v>49</v>
      </c>
      <c r="B13" s="8" t="s">
        <v>31</v>
      </c>
      <c r="C13" s="8" t="s">
        <v>35</v>
      </c>
      <c r="D13" s="12">
        <v>28696</v>
      </c>
      <c r="E13" s="12"/>
    </row>
  </sheetData>
  <mergeCells count="2">
    <mergeCell ref="G7:H7"/>
    <mergeCell ref="G8:H8"/>
  </mergeCells>
  <phoneticPr fontId="3"/>
  <conditionalFormatting sqref="E4:E13">
    <cfRule type="containsBlanks" dxfId="7" priority="1">
      <formula>LEN(TRIM(E4))=0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2:H13"/>
  <sheetViews>
    <sheetView workbookViewId="0"/>
  </sheetViews>
  <sheetFormatPr defaultColWidth="8.875" defaultRowHeight="13.5" x14ac:dyDescent="0.15"/>
  <cols>
    <col min="1" max="1" width="12.375" style="2" bestFit="1" customWidth="1"/>
    <col min="2" max="2" width="8.875" style="2" customWidth="1"/>
    <col min="3" max="3" width="8.875" style="2"/>
    <col min="4" max="4" width="11.625" style="2" bestFit="1" customWidth="1"/>
    <col min="5" max="6" width="8.875" style="2" customWidth="1"/>
    <col min="7" max="16384" width="8.875" style="2"/>
  </cols>
  <sheetData>
    <row r="2" spans="1:8" x14ac:dyDescent="0.15">
      <c r="A2" s="2" t="s">
        <v>253</v>
      </c>
      <c r="H2" s="3" t="s">
        <v>150</v>
      </c>
    </row>
    <row r="3" spans="1:8" x14ac:dyDescent="0.15">
      <c r="A3" s="7" t="s">
        <v>163</v>
      </c>
      <c r="B3" s="7" t="s">
        <v>164</v>
      </c>
      <c r="C3" s="7" t="s">
        <v>165</v>
      </c>
      <c r="D3" s="7" t="s">
        <v>166</v>
      </c>
      <c r="E3" s="7" t="s">
        <v>167</v>
      </c>
      <c r="F3" s="7" t="s">
        <v>168</v>
      </c>
      <c r="H3" s="2" t="s">
        <v>256</v>
      </c>
    </row>
    <row r="4" spans="1:8" x14ac:dyDescent="0.15">
      <c r="A4" s="8" t="s">
        <v>169</v>
      </c>
      <c r="B4" s="8">
        <v>800</v>
      </c>
      <c r="C4" s="8">
        <v>30</v>
      </c>
      <c r="D4" s="17">
        <f t="shared" ref="D4:D13" si="0">C4/B4</f>
        <v>3.7499999999999999E-2</v>
      </c>
      <c r="E4" s="8" t="str">
        <f>IF(D4&gt;=3%,IF(D4&gt;=5%,"悪","並"),"良")</f>
        <v>並</v>
      </c>
      <c r="F4" s="8"/>
      <c r="H4" s="2" t="s">
        <v>179</v>
      </c>
    </row>
    <row r="5" spans="1:8" x14ac:dyDescent="0.15">
      <c r="A5" s="8" t="s">
        <v>170</v>
      </c>
      <c r="B5" s="8">
        <v>300</v>
      </c>
      <c r="C5" s="8">
        <v>20</v>
      </c>
      <c r="D5" s="17">
        <f t="shared" si="0"/>
        <v>6.6666666666666666E-2</v>
      </c>
      <c r="E5" s="8" t="str">
        <f t="shared" ref="E5:E13" si="1">IF(D5&gt;=3%,IF(D5&gt;=5%,"悪","並"),"良")</f>
        <v>悪</v>
      </c>
      <c r="F5" s="8"/>
    </row>
    <row r="6" spans="1:8" x14ac:dyDescent="0.15">
      <c r="A6" s="8" t="s">
        <v>171</v>
      </c>
      <c r="B6" s="8">
        <v>450</v>
      </c>
      <c r="C6" s="8">
        <v>10</v>
      </c>
      <c r="D6" s="17">
        <f t="shared" si="0"/>
        <v>2.2222222222222223E-2</v>
      </c>
      <c r="E6" s="8" t="str">
        <f t="shared" si="1"/>
        <v>良</v>
      </c>
      <c r="F6" s="8"/>
    </row>
    <row r="7" spans="1:8" x14ac:dyDescent="0.15">
      <c r="A7" s="8" t="s">
        <v>172</v>
      </c>
      <c r="B7" s="8">
        <v>680</v>
      </c>
      <c r="C7" s="8">
        <v>24</v>
      </c>
      <c r="D7" s="17">
        <f t="shared" si="0"/>
        <v>3.5294117647058823E-2</v>
      </c>
      <c r="E7" s="8" t="str">
        <f t="shared" si="1"/>
        <v>並</v>
      </c>
      <c r="F7" s="8"/>
    </row>
    <row r="8" spans="1:8" x14ac:dyDescent="0.15">
      <c r="A8" s="8" t="s">
        <v>173</v>
      </c>
      <c r="B8" s="8">
        <v>740</v>
      </c>
      <c r="C8" s="8">
        <v>48</v>
      </c>
      <c r="D8" s="17">
        <f t="shared" si="0"/>
        <v>6.4864864864864868E-2</v>
      </c>
      <c r="E8" s="8" t="str">
        <f t="shared" si="1"/>
        <v>悪</v>
      </c>
      <c r="F8" s="8"/>
    </row>
    <row r="9" spans="1:8" x14ac:dyDescent="0.15">
      <c r="A9" s="8" t="s">
        <v>174</v>
      </c>
      <c r="B9" s="8">
        <v>220</v>
      </c>
      <c r="C9" s="8">
        <v>8</v>
      </c>
      <c r="D9" s="17">
        <f t="shared" si="0"/>
        <v>3.6363636363636362E-2</v>
      </c>
      <c r="E9" s="8" t="str">
        <f t="shared" si="1"/>
        <v>並</v>
      </c>
      <c r="F9" s="8"/>
    </row>
    <row r="10" spans="1:8" x14ac:dyDescent="0.15">
      <c r="A10" s="8" t="s">
        <v>175</v>
      </c>
      <c r="B10" s="8">
        <v>100</v>
      </c>
      <c r="C10" s="8">
        <v>0</v>
      </c>
      <c r="D10" s="17">
        <f t="shared" si="0"/>
        <v>0</v>
      </c>
      <c r="E10" s="8" t="str">
        <f t="shared" si="1"/>
        <v>良</v>
      </c>
      <c r="F10" s="8"/>
    </row>
    <row r="11" spans="1:8" x14ac:dyDescent="0.15">
      <c r="A11" s="8" t="s">
        <v>176</v>
      </c>
      <c r="B11" s="8">
        <v>970</v>
      </c>
      <c r="C11" s="8">
        <v>20</v>
      </c>
      <c r="D11" s="17">
        <f t="shared" si="0"/>
        <v>2.0618556701030927E-2</v>
      </c>
      <c r="E11" s="8" t="str">
        <f t="shared" si="1"/>
        <v>良</v>
      </c>
      <c r="F11" s="8"/>
    </row>
    <row r="12" spans="1:8" x14ac:dyDescent="0.15">
      <c r="A12" s="8" t="s">
        <v>177</v>
      </c>
      <c r="B12" s="8">
        <v>730</v>
      </c>
      <c r="C12" s="8">
        <v>15</v>
      </c>
      <c r="D12" s="17">
        <f t="shared" si="0"/>
        <v>2.0547945205479451E-2</v>
      </c>
      <c r="E12" s="8" t="str">
        <f t="shared" si="1"/>
        <v>良</v>
      </c>
      <c r="F12" s="8"/>
    </row>
    <row r="13" spans="1:8" x14ac:dyDescent="0.15">
      <c r="A13" s="8" t="s">
        <v>178</v>
      </c>
      <c r="B13" s="8">
        <v>860</v>
      </c>
      <c r="C13" s="8">
        <v>80</v>
      </c>
      <c r="D13" s="17">
        <f t="shared" si="0"/>
        <v>9.3023255813953487E-2</v>
      </c>
      <c r="E13" s="8" t="str">
        <f t="shared" si="1"/>
        <v>悪</v>
      </c>
      <c r="F13" s="8"/>
    </row>
  </sheetData>
  <phoneticPr fontId="3"/>
  <conditionalFormatting sqref="F4:F13">
    <cfRule type="containsBlanks" dxfId="6" priority="1">
      <formula>LEN(TRIM(F4))=0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P21"/>
  <sheetViews>
    <sheetView workbookViewId="0"/>
  </sheetViews>
  <sheetFormatPr defaultColWidth="8.875" defaultRowHeight="13.5" x14ac:dyDescent="0.15"/>
  <cols>
    <col min="1" max="1" width="11.125" style="2" bestFit="1" customWidth="1"/>
    <col min="2" max="2" width="12.375" style="2" bestFit="1" customWidth="1"/>
    <col min="3" max="3" width="18.5" style="2" bestFit="1" customWidth="1"/>
    <col min="4" max="5" width="8.875" style="2" customWidth="1"/>
    <col min="6" max="6" width="11.625" style="2" bestFit="1" customWidth="1"/>
    <col min="7" max="8" width="8.875" style="2"/>
    <col min="9" max="9" width="11.5" style="2" customWidth="1"/>
    <col min="10" max="10" width="18" style="2" customWidth="1"/>
    <col min="11" max="12" width="8.875" style="2"/>
    <col min="13" max="13" width="1.75" style="2" customWidth="1"/>
    <col min="14" max="14" width="12.125" style="2" customWidth="1"/>
    <col min="15" max="15" width="11.625" style="2" bestFit="1" customWidth="1"/>
    <col min="16" max="16384" width="8.875" style="2"/>
  </cols>
  <sheetData>
    <row r="1" spans="1:16" ht="13.15" customHeight="1" x14ac:dyDescent="0.15">
      <c r="A1"/>
      <c r="B1"/>
      <c r="C1"/>
      <c r="D1"/>
      <c r="E1"/>
      <c r="F1"/>
      <c r="G1"/>
      <c r="H1"/>
      <c r="I1"/>
      <c r="J1"/>
      <c r="K1"/>
      <c r="L1"/>
    </row>
    <row r="2" spans="1:16" ht="14.25" thickBot="1" x14ac:dyDescent="0.2">
      <c r="A2" t="s">
        <v>207</v>
      </c>
      <c r="B2"/>
      <c r="C2"/>
      <c r="D2"/>
      <c r="E2"/>
      <c r="F2"/>
      <c r="G2"/>
      <c r="H2"/>
      <c r="I2"/>
      <c r="J2"/>
      <c r="K2"/>
      <c r="L2"/>
      <c r="N2" s="3" t="s">
        <v>150</v>
      </c>
    </row>
    <row r="3" spans="1:16" ht="13.9" customHeight="1" x14ac:dyDescent="0.15">
      <c r="A3" s="153" t="s">
        <v>180</v>
      </c>
      <c r="B3" s="155" t="s">
        <v>181</v>
      </c>
      <c r="C3" s="157" t="s">
        <v>182</v>
      </c>
      <c r="D3" s="158"/>
      <c r="E3" s="158"/>
      <c r="F3" s="155" t="s">
        <v>183</v>
      </c>
      <c r="G3" s="155" t="s">
        <v>184</v>
      </c>
      <c r="H3" s="159" t="s">
        <v>185</v>
      </c>
      <c r="I3" s="159"/>
      <c r="J3" s="145" t="s">
        <v>186</v>
      </c>
      <c r="K3" s="147" t="s">
        <v>187</v>
      </c>
      <c r="L3" s="149" t="s">
        <v>188</v>
      </c>
      <c r="N3" s="3" t="s">
        <v>257</v>
      </c>
    </row>
    <row r="4" spans="1:16" ht="13.9" customHeight="1" thickBot="1" x14ac:dyDescent="0.2">
      <c r="A4" s="154"/>
      <c r="B4" s="156"/>
      <c r="C4" s="18" t="s">
        <v>189</v>
      </c>
      <c r="D4" s="19" t="s">
        <v>190</v>
      </c>
      <c r="E4" s="20" t="s">
        <v>191</v>
      </c>
      <c r="F4" s="156"/>
      <c r="G4" s="156"/>
      <c r="H4" s="21" t="s">
        <v>192</v>
      </c>
      <c r="I4" s="22" t="s">
        <v>193</v>
      </c>
      <c r="J4" s="146"/>
      <c r="K4" s="148"/>
      <c r="L4" s="150"/>
      <c r="N4" s="2" t="s">
        <v>208</v>
      </c>
    </row>
    <row r="5" spans="1:16" ht="13.9" customHeight="1" thickTop="1" x14ac:dyDescent="0.15">
      <c r="A5" s="23" t="s">
        <v>194</v>
      </c>
      <c r="B5" s="24">
        <v>300</v>
      </c>
      <c r="C5" s="25">
        <v>133</v>
      </c>
      <c r="D5" s="26">
        <v>153</v>
      </c>
      <c r="E5" s="27">
        <v>144</v>
      </c>
      <c r="F5" s="28">
        <f>SUM(C5:E5)</f>
        <v>430</v>
      </c>
      <c r="G5" s="28">
        <f>AVERAGE(C5:E5)</f>
        <v>143.33333333333334</v>
      </c>
      <c r="H5" s="29">
        <f>F5*B5</f>
        <v>129000</v>
      </c>
      <c r="I5" s="30">
        <f>ROUNDDOWN(H5/(1+$I$17),0)</f>
        <v>117272</v>
      </c>
      <c r="J5" s="31">
        <v>150000</v>
      </c>
      <c r="K5" s="32">
        <f>H5/J5</f>
        <v>0.86</v>
      </c>
      <c r="L5" s="60">
        <f>H5/$H$15</f>
        <v>9.1395373552020973E-2</v>
      </c>
      <c r="O5" s="68" t="s">
        <v>180</v>
      </c>
      <c r="P5" s="69" t="s">
        <v>206</v>
      </c>
    </row>
    <row r="6" spans="1:16" ht="13.9" customHeight="1" thickBot="1" x14ac:dyDescent="0.2">
      <c r="A6" s="23" t="s">
        <v>195</v>
      </c>
      <c r="B6" s="33">
        <v>450</v>
      </c>
      <c r="C6" s="34">
        <v>128</v>
      </c>
      <c r="D6" s="35">
        <v>113</v>
      </c>
      <c r="E6" s="36">
        <v>131</v>
      </c>
      <c r="F6" s="37">
        <f t="shared" ref="F6:F14" si="0">SUM(C6:E6)</f>
        <v>372</v>
      </c>
      <c r="G6" s="37">
        <f t="shared" ref="G6:G14" si="1">AVERAGE(C6:E6)</f>
        <v>124</v>
      </c>
      <c r="H6" s="38">
        <f t="shared" ref="H6:H14" si="2">F6*B6</f>
        <v>167400</v>
      </c>
      <c r="I6" s="39">
        <f t="shared" ref="I6:I14" si="3">ROUNDDOWN(H6/(1+$I$17),0)</f>
        <v>152181</v>
      </c>
      <c r="J6" s="40">
        <v>174600</v>
      </c>
      <c r="K6" s="41">
        <f t="shared" ref="K6:K15" si="4">H6/J6</f>
        <v>0.95876288659793818</v>
      </c>
      <c r="L6" s="61">
        <f t="shared" ref="L6:L15" si="5">H6/$H$15</f>
        <v>0.11860143823727373</v>
      </c>
      <c r="O6" s="70" t="s">
        <v>205</v>
      </c>
      <c r="P6" s="71"/>
    </row>
    <row r="7" spans="1:16" x14ac:dyDescent="0.15">
      <c r="A7" s="23" t="s">
        <v>196</v>
      </c>
      <c r="B7" s="33">
        <v>520</v>
      </c>
      <c r="C7" s="34">
        <v>165</v>
      </c>
      <c r="D7" s="35">
        <v>170</v>
      </c>
      <c r="E7" s="36">
        <v>185</v>
      </c>
      <c r="F7" s="37">
        <f t="shared" si="0"/>
        <v>520</v>
      </c>
      <c r="G7" s="37">
        <f t="shared" si="1"/>
        <v>173.33333333333334</v>
      </c>
      <c r="H7" s="38">
        <f t="shared" si="2"/>
        <v>270400</v>
      </c>
      <c r="I7" s="39">
        <f t="shared" si="3"/>
        <v>245818</v>
      </c>
      <c r="J7" s="40">
        <v>208000</v>
      </c>
      <c r="K7" s="41">
        <f t="shared" si="4"/>
        <v>1.3</v>
      </c>
      <c r="L7" s="61">
        <f t="shared" si="5"/>
        <v>0.19157603882532148</v>
      </c>
    </row>
    <row r="8" spans="1:16" x14ac:dyDescent="0.15">
      <c r="A8" s="23" t="s">
        <v>197</v>
      </c>
      <c r="B8" s="33">
        <v>530</v>
      </c>
      <c r="C8" s="34">
        <v>78</v>
      </c>
      <c r="D8" s="35">
        <v>82</v>
      </c>
      <c r="E8" s="36">
        <v>85</v>
      </c>
      <c r="F8" s="37">
        <f t="shared" si="0"/>
        <v>245</v>
      </c>
      <c r="G8" s="37">
        <f t="shared" si="1"/>
        <v>81.666666666666671</v>
      </c>
      <c r="H8" s="38">
        <f t="shared" si="2"/>
        <v>129850</v>
      </c>
      <c r="I8" s="39">
        <f t="shared" si="3"/>
        <v>118045</v>
      </c>
      <c r="J8" s="40">
        <v>132500</v>
      </c>
      <c r="K8" s="41">
        <f t="shared" si="4"/>
        <v>0.98</v>
      </c>
      <c r="L8" s="61">
        <f t="shared" si="5"/>
        <v>9.1997591129689332E-2</v>
      </c>
      <c r="N8" s="3" t="s">
        <v>258</v>
      </c>
    </row>
    <row r="9" spans="1:16" ht="14.25" thickBot="1" x14ac:dyDescent="0.2">
      <c r="A9" s="23" t="s">
        <v>198</v>
      </c>
      <c r="B9" s="33">
        <v>600</v>
      </c>
      <c r="C9" s="34">
        <v>111</v>
      </c>
      <c r="D9" s="35">
        <v>125</v>
      </c>
      <c r="E9" s="36">
        <v>132</v>
      </c>
      <c r="F9" s="37">
        <f t="shared" si="0"/>
        <v>368</v>
      </c>
      <c r="G9" s="37">
        <f t="shared" si="1"/>
        <v>122.66666666666667</v>
      </c>
      <c r="H9" s="38">
        <f t="shared" si="2"/>
        <v>220800</v>
      </c>
      <c r="I9" s="39">
        <f t="shared" si="3"/>
        <v>200727</v>
      </c>
      <c r="J9" s="40">
        <v>240000</v>
      </c>
      <c r="K9" s="41">
        <f t="shared" si="4"/>
        <v>0.92</v>
      </c>
      <c r="L9" s="61">
        <f t="shared" si="5"/>
        <v>0.15643487194020333</v>
      </c>
      <c r="N9" s="2" t="s">
        <v>209</v>
      </c>
    </row>
    <row r="10" spans="1:16" x14ac:dyDescent="0.15">
      <c r="A10" s="23" t="s">
        <v>199</v>
      </c>
      <c r="B10" s="33">
        <v>200</v>
      </c>
      <c r="C10" s="34">
        <v>250</v>
      </c>
      <c r="D10" s="35">
        <v>210</v>
      </c>
      <c r="E10" s="36">
        <v>200</v>
      </c>
      <c r="F10" s="37">
        <f t="shared" si="0"/>
        <v>660</v>
      </c>
      <c r="G10" s="37">
        <f t="shared" si="1"/>
        <v>220</v>
      </c>
      <c r="H10" s="38">
        <f t="shared" si="2"/>
        <v>132000</v>
      </c>
      <c r="I10" s="39">
        <f t="shared" si="3"/>
        <v>120000</v>
      </c>
      <c r="J10" s="40">
        <v>109000</v>
      </c>
      <c r="K10" s="41">
        <f t="shared" si="4"/>
        <v>1.2110091743119267</v>
      </c>
      <c r="L10" s="61">
        <f t="shared" si="5"/>
        <v>9.3520847355556339E-2</v>
      </c>
      <c r="O10" s="68" t="s">
        <v>180</v>
      </c>
      <c r="P10" s="69" t="s">
        <v>206</v>
      </c>
    </row>
    <row r="11" spans="1:16" ht="14.25" thickBot="1" x14ac:dyDescent="0.2">
      <c r="A11" s="23" t="s">
        <v>200</v>
      </c>
      <c r="B11" s="33">
        <v>150</v>
      </c>
      <c r="C11" s="34">
        <v>120</v>
      </c>
      <c r="D11" s="35">
        <v>140</v>
      </c>
      <c r="E11" s="36">
        <v>160</v>
      </c>
      <c r="F11" s="37">
        <f t="shared" si="0"/>
        <v>420</v>
      </c>
      <c r="G11" s="37">
        <f t="shared" si="1"/>
        <v>140</v>
      </c>
      <c r="H11" s="38">
        <f t="shared" si="2"/>
        <v>63000</v>
      </c>
      <c r="I11" s="39">
        <f t="shared" si="3"/>
        <v>57272</v>
      </c>
      <c r="J11" s="40">
        <v>45000</v>
      </c>
      <c r="K11" s="41">
        <f t="shared" si="4"/>
        <v>1.4</v>
      </c>
      <c r="L11" s="61">
        <f t="shared" si="5"/>
        <v>4.4634949874242803E-2</v>
      </c>
      <c r="O11" s="70" t="s">
        <v>205</v>
      </c>
      <c r="P11" s="71"/>
    </row>
    <row r="12" spans="1:16" x14ac:dyDescent="0.15">
      <c r="A12" s="23" t="s">
        <v>201</v>
      </c>
      <c r="B12" s="42">
        <v>300</v>
      </c>
      <c r="C12" s="34">
        <v>122</v>
      </c>
      <c r="D12" s="35">
        <v>108</v>
      </c>
      <c r="E12" s="36">
        <v>126</v>
      </c>
      <c r="F12" s="37">
        <f t="shared" si="0"/>
        <v>356</v>
      </c>
      <c r="G12" s="37">
        <f t="shared" si="1"/>
        <v>118.66666666666667</v>
      </c>
      <c r="H12" s="38">
        <f t="shared" si="2"/>
        <v>106800</v>
      </c>
      <c r="I12" s="39">
        <f t="shared" si="3"/>
        <v>97090</v>
      </c>
      <c r="J12" s="40">
        <v>99900</v>
      </c>
      <c r="K12" s="41">
        <f t="shared" si="4"/>
        <v>1.0690690690690692</v>
      </c>
      <c r="L12" s="61">
        <f t="shared" si="5"/>
        <v>7.566686740585922E-2</v>
      </c>
    </row>
    <row r="13" spans="1:16" x14ac:dyDescent="0.15">
      <c r="A13" s="23" t="s">
        <v>202</v>
      </c>
      <c r="B13" s="42">
        <v>200</v>
      </c>
      <c r="C13" s="34">
        <v>158</v>
      </c>
      <c r="D13" s="35">
        <v>156</v>
      </c>
      <c r="E13" s="36">
        <v>151</v>
      </c>
      <c r="F13" s="37">
        <f t="shared" si="0"/>
        <v>465</v>
      </c>
      <c r="G13" s="37">
        <f t="shared" si="1"/>
        <v>155</v>
      </c>
      <c r="H13" s="38">
        <f t="shared" si="2"/>
        <v>93000</v>
      </c>
      <c r="I13" s="39">
        <f t="shared" si="3"/>
        <v>84545</v>
      </c>
      <c r="J13" s="40">
        <v>91000</v>
      </c>
      <c r="K13" s="41">
        <f t="shared" si="4"/>
        <v>1.0219780219780219</v>
      </c>
      <c r="L13" s="61">
        <f t="shared" si="5"/>
        <v>6.5889687909596512E-2</v>
      </c>
    </row>
    <row r="14" spans="1:16" ht="14.25" thickBot="1" x14ac:dyDescent="0.2">
      <c r="A14" s="43" t="s">
        <v>203</v>
      </c>
      <c r="B14" s="44">
        <v>400</v>
      </c>
      <c r="C14" s="45">
        <v>88</v>
      </c>
      <c r="D14" s="46">
        <v>78</v>
      </c>
      <c r="E14" s="47">
        <v>82</v>
      </c>
      <c r="F14" s="48">
        <f t="shared" si="0"/>
        <v>248</v>
      </c>
      <c r="G14" s="48">
        <f t="shared" si="1"/>
        <v>82.666666666666671</v>
      </c>
      <c r="H14" s="49">
        <f t="shared" si="2"/>
        <v>99200</v>
      </c>
      <c r="I14" s="50">
        <f t="shared" si="3"/>
        <v>90181</v>
      </c>
      <c r="J14" s="51">
        <v>107200</v>
      </c>
      <c r="K14" s="52">
        <f t="shared" si="4"/>
        <v>0.92537313432835822</v>
      </c>
      <c r="L14" s="62">
        <f t="shared" si="5"/>
        <v>7.028233377023628E-2</v>
      </c>
    </row>
    <row r="15" spans="1:16" ht="15" thickTop="1" thickBot="1" x14ac:dyDescent="0.2">
      <c r="A15" s="151" t="s">
        <v>136</v>
      </c>
      <c r="B15" s="152"/>
      <c r="C15" s="53">
        <f>SUM(C5:C14)</f>
        <v>1353</v>
      </c>
      <c r="D15" s="54">
        <f t="shared" ref="D15:J15" si="6">SUM(D5:D14)</f>
        <v>1335</v>
      </c>
      <c r="E15" s="54">
        <f t="shared" si="6"/>
        <v>1396</v>
      </c>
      <c r="F15" s="55">
        <f t="shared" si="6"/>
        <v>4084</v>
      </c>
      <c r="G15" s="55">
        <f t="shared" si="6"/>
        <v>1361.3333333333335</v>
      </c>
      <c r="H15" s="56">
        <f>SUM(H5:H14)</f>
        <v>1411450</v>
      </c>
      <c r="I15" s="57">
        <f t="shared" si="6"/>
        <v>1283131</v>
      </c>
      <c r="J15" s="58">
        <f t="shared" si="6"/>
        <v>1357200</v>
      </c>
      <c r="K15" s="59">
        <f t="shared" si="4"/>
        <v>1.0399720011788978</v>
      </c>
      <c r="L15" s="63">
        <f t="shared" si="5"/>
        <v>1</v>
      </c>
    </row>
    <row r="16" spans="1:16" ht="14.25" thickBot="1" x14ac:dyDescent="0.2">
      <c r="A16"/>
      <c r="B16"/>
      <c r="C16"/>
      <c r="D16"/>
      <c r="E16"/>
      <c r="F16"/>
      <c r="G16"/>
      <c r="H16" s="64"/>
      <c r="I16" s="65"/>
      <c r="J16"/>
      <c r="K16"/>
      <c r="L16"/>
    </row>
    <row r="17" spans="1:12" ht="14.25" thickBot="1" x14ac:dyDescent="0.2">
      <c r="A17"/>
      <c r="B17"/>
      <c r="C17"/>
      <c r="D17"/>
      <c r="E17"/>
      <c r="F17"/>
      <c r="G17"/>
      <c r="H17" s="66" t="s">
        <v>204</v>
      </c>
      <c r="I17" s="67">
        <v>0.1</v>
      </c>
      <c r="J17"/>
      <c r="K17"/>
      <c r="L17"/>
    </row>
    <row r="18" spans="1:12" x14ac:dyDescent="0.15">
      <c r="A18"/>
      <c r="B18"/>
      <c r="C18"/>
      <c r="D18"/>
      <c r="E18"/>
      <c r="F18"/>
      <c r="G18"/>
      <c r="H18"/>
      <c r="I18"/>
      <c r="J18"/>
    </row>
    <row r="19" spans="1:12" x14ac:dyDescent="0.15">
      <c r="A19"/>
      <c r="B19"/>
      <c r="C19"/>
      <c r="D19"/>
      <c r="E19"/>
      <c r="F19"/>
      <c r="G19"/>
      <c r="H19"/>
      <c r="I19"/>
      <c r="J19"/>
    </row>
    <row r="20" spans="1:12" x14ac:dyDescent="0.15">
      <c r="A20"/>
      <c r="B20"/>
      <c r="C20"/>
      <c r="D20"/>
      <c r="E20"/>
      <c r="F20"/>
      <c r="G20"/>
      <c r="H20"/>
      <c r="I20"/>
      <c r="J20"/>
    </row>
    <row r="21" spans="1:12" x14ac:dyDescent="0.15">
      <c r="A21"/>
      <c r="B21"/>
      <c r="C21"/>
      <c r="D21"/>
      <c r="E21"/>
      <c r="F21"/>
      <c r="G21"/>
      <c r="H21"/>
      <c r="I21"/>
      <c r="J21"/>
    </row>
  </sheetData>
  <mergeCells count="10">
    <mergeCell ref="J3:J4"/>
    <mergeCell ref="K3:K4"/>
    <mergeCell ref="L3:L4"/>
    <mergeCell ref="A15:B15"/>
    <mergeCell ref="A3:A4"/>
    <mergeCell ref="B3:B4"/>
    <mergeCell ref="C3:E3"/>
    <mergeCell ref="F3:F4"/>
    <mergeCell ref="G3:G4"/>
    <mergeCell ref="H3:I3"/>
  </mergeCells>
  <phoneticPr fontId="3"/>
  <conditionalFormatting sqref="P6 P11">
    <cfRule type="containsBlanks" dxfId="5" priority="1">
      <formula>LEN(TRIM(P6))=0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/>
  <dimension ref="A1:L15"/>
  <sheetViews>
    <sheetView workbookViewId="0"/>
  </sheetViews>
  <sheetFormatPr defaultColWidth="8.875" defaultRowHeight="13.5" x14ac:dyDescent="0.15"/>
  <cols>
    <col min="1" max="1" width="11.125" style="2" bestFit="1" customWidth="1"/>
    <col min="2" max="2" width="12.375" style="2" bestFit="1" customWidth="1"/>
    <col min="3" max="3" width="18.5" style="2" bestFit="1" customWidth="1"/>
    <col min="4" max="5" width="8.875" style="2" customWidth="1"/>
    <col min="6" max="6" width="11.625" style="2" bestFit="1" customWidth="1"/>
    <col min="7" max="8" width="8.875" style="2"/>
    <col min="9" max="9" width="11.5" style="2" customWidth="1"/>
    <col min="10" max="10" width="18" style="2" customWidth="1"/>
    <col min="11" max="12" width="8.875" style="2"/>
    <col min="13" max="13" width="1.75" style="2" customWidth="1"/>
    <col min="14" max="14" width="12.125" style="2" customWidth="1"/>
    <col min="15" max="15" width="11.625" style="2" bestFit="1" customWidth="1"/>
    <col min="16" max="16384" width="8.875" style="2"/>
  </cols>
  <sheetData>
    <row r="1" spans="1:12" ht="13.15" customHeight="1" x14ac:dyDescent="0.15">
      <c r="A1"/>
      <c r="B1"/>
      <c r="C1"/>
      <c r="D1"/>
      <c r="E1"/>
      <c r="F1"/>
      <c r="G1"/>
      <c r="H1"/>
      <c r="I1"/>
      <c r="J1"/>
      <c r="K1"/>
      <c r="L1"/>
    </row>
    <row r="2" spans="1:12" x14ac:dyDescent="0.15">
      <c r="A2" t="s">
        <v>252</v>
      </c>
      <c r="B2"/>
      <c r="C2"/>
      <c r="D2"/>
      <c r="E2"/>
      <c r="F2"/>
      <c r="G2"/>
      <c r="H2" s="3" t="s">
        <v>150</v>
      </c>
      <c r="I2"/>
      <c r="J2"/>
    </row>
    <row r="3" spans="1:12" x14ac:dyDescent="0.15">
      <c r="A3" s="1" t="s">
        <v>210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/>
      <c r="H3" s="3" t="s">
        <v>259</v>
      </c>
    </row>
    <row r="4" spans="1:12" ht="14.25" thickBot="1" x14ac:dyDescent="0.2">
      <c r="A4" s="1">
        <v>1</v>
      </c>
      <c r="B4" s="1" t="s">
        <v>25</v>
      </c>
      <c r="C4" s="1" t="s">
        <v>26</v>
      </c>
      <c r="D4" s="1" t="s">
        <v>27</v>
      </c>
      <c r="E4" s="1" t="s">
        <v>28</v>
      </c>
      <c r="F4" s="12">
        <v>30642</v>
      </c>
      <c r="G4"/>
      <c r="H4" s="2" t="s">
        <v>214</v>
      </c>
    </row>
    <row r="5" spans="1:12" x14ac:dyDescent="0.15">
      <c r="A5" s="1">
        <v>2</v>
      </c>
      <c r="B5" s="1" t="s">
        <v>29</v>
      </c>
      <c r="C5" s="1" t="s">
        <v>30</v>
      </c>
      <c r="D5" s="1" t="s">
        <v>31</v>
      </c>
      <c r="E5" s="1" t="s">
        <v>32</v>
      </c>
      <c r="F5" s="12">
        <v>27927</v>
      </c>
      <c r="G5"/>
      <c r="H5" s="68" t="s">
        <v>211</v>
      </c>
      <c r="I5" s="69">
        <v>1</v>
      </c>
    </row>
    <row r="6" spans="1:12" x14ac:dyDescent="0.15">
      <c r="A6" s="1">
        <v>3</v>
      </c>
      <c r="B6" s="1" t="s">
        <v>33</v>
      </c>
      <c r="C6" s="1" t="s">
        <v>34</v>
      </c>
      <c r="D6" s="1" t="s">
        <v>31</v>
      </c>
      <c r="E6" s="1" t="s">
        <v>35</v>
      </c>
      <c r="F6" s="12">
        <v>27363</v>
      </c>
      <c r="G6"/>
      <c r="H6" s="73" t="s">
        <v>212</v>
      </c>
      <c r="I6" s="140"/>
    </row>
    <row r="7" spans="1:12" ht="14.25" thickBot="1" x14ac:dyDescent="0.2">
      <c r="A7" s="1">
        <v>4</v>
      </c>
      <c r="B7" s="1" t="s">
        <v>36</v>
      </c>
      <c r="C7" s="1" t="s">
        <v>37</v>
      </c>
      <c r="D7" s="1" t="s">
        <v>31</v>
      </c>
      <c r="E7" s="1" t="s">
        <v>38</v>
      </c>
      <c r="F7" s="12">
        <v>32776</v>
      </c>
      <c r="G7"/>
      <c r="H7" s="72" t="s">
        <v>213</v>
      </c>
      <c r="I7" s="141"/>
    </row>
    <row r="8" spans="1:12" x14ac:dyDescent="0.15">
      <c r="A8" s="1">
        <v>5</v>
      </c>
      <c r="B8" s="1" t="s">
        <v>39</v>
      </c>
      <c r="C8" s="1" t="s">
        <v>40</v>
      </c>
      <c r="D8" s="1" t="s">
        <v>31</v>
      </c>
      <c r="E8" s="1" t="s">
        <v>38</v>
      </c>
      <c r="F8" s="12">
        <v>33446</v>
      </c>
      <c r="G8"/>
      <c r="H8"/>
      <c r="I8"/>
      <c r="J8"/>
    </row>
    <row r="9" spans="1:12" x14ac:dyDescent="0.15">
      <c r="A9" s="1">
        <v>6</v>
      </c>
      <c r="B9" s="1" t="s">
        <v>41</v>
      </c>
      <c r="C9" s="1" t="s">
        <v>42</v>
      </c>
      <c r="D9" s="1" t="s">
        <v>31</v>
      </c>
      <c r="E9" s="1" t="s">
        <v>28</v>
      </c>
      <c r="F9" s="12">
        <v>29691</v>
      </c>
      <c r="G9"/>
      <c r="H9"/>
      <c r="I9"/>
      <c r="J9"/>
    </row>
    <row r="10" spans="1:12" x14ac:dyDescent="0.15">
      <c r="A10" s="1">
        <v>7</v>
      </c>
      <c r="B10" s="1" t="s">
        <v>43</v>
      </c>
      <c r="C10" s="1" t="s">
        <v>44</v>
      </c>
      <c r="D10" s="1" t="s">
        <v>31</v>
      </c>
      <c r="E10" s="1" t="s">
        <v>28</v>
      </c>
      <c r="F10" s="12">
        <v>33224</v>
      </c>
      <c r="G10"/>
      <c r="H10"/>
      <c r="I10"/>
      <c r="J10"/>
    </row>
    <row r="11" spans="1:12" x14ac:dyDescent="0.15">
      <c r="A11" s="1">
        <v>8</v>
      </c>
      <c r="B11" s="1" t="s">
        <v>45</v>
      </c>
      <c r="C11" s="1" t="s">
        <v>46</v>
      </c>
      <c r="D11" s="1" t="s">
        <v>27</v>
      </c>
      <c r="E11" s="1" t="s">
        <v>28</v>
      </c>
      <c r="F11" s="12">
        <v>33124</v>
      </c>
      <c r="G11"/>
      <c r="H11"/>
      <c r="I11"/>
      <c r="J11"/>
    </row>
    <row r="12" spans="1:12" x14ac:dyDescent="0.15">
      <c r="A12" s="1">
        <v>9</v>
      </c>
      <c r="B12" s="1" t="s">
        <v>47</v>
      </c>
      <c r="C12" s="1" t="s">
        <v>48</v>
      </c>
      <c r="D12" s="1" t="s">
        <v>27</v>
      </c>
      <c r="E12" s="1" t="s">
        <v>28</v>
      </c>
      <c r="F12" s="12">
        <v>34697</v>
      </c>
      <c r="G12"/>
      <c r="H12"/>
      <c r="I12"/>
      <c r="J12"/>
    </row>
    <row r="13" spans="1:12" x14ac:dyDescent="0.15">
      <c r="A13" s="1">
        <v>10</v>
      </c>
      <c r="B13" s="1" t="s">
        <v>49</v>
      </c>
      <c r="C13" s="1" t="s">
        <v>50</v>
      </c>
      <c r="D13" s="1" t="s">
        <v>31</v>
      </c>
      <c r="E13" s="1" t="s">
        <v>35</v>
      </c>
      <c r="F13" s="12">
        <v>28696</v>
      </c>
      <c r="G13"/>
      <c r="H13"/>
      <c r="I13"/>
      <c r="J13"/>
    </row>
    <row r="14" spans="1:12" x14ac:dyDescent="0.15">
      <c r="A14"/>
      <c r="B14"/>
      <c r="C14"/>
      <c r="D14"/>
      <c r="E14"/>
      <c r="F14"/>
      <c r="G14"/>
      <c r="H14"/>
      <c r="I14"/>
      <c r="J14"/>
    </row>
    <row r="15" spans="1:12" x14ac:dyDescent="0.15">
      <c r="A15"/>
      <c r="B15"/>
      <c r="C15"/>
      <c r="D15"/>
      <c r="E15"/>
      <c r="F15"/>
      <c r="G15"/>
      <c r="H15"/>
      <c r="I15"/>
    </row>
  </sheetData>
  <phoneticPr fontId="3"/>
  <conditionalFormatting sqref="I6:I7">
    <cfRule type="containsBlanks" dxfId="4" priority="1">
      <formula>LEN(TRIM(I6))=0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2:M25"/>
  <sheetViews>
    <sheetView tabSelected="1" zoomScale="130" zoomScaleNormal="130" workbookViewId="0">
      <selection activeCell="C25" sqref="C25"/>
    </sheetView>
  </sheetViews>
  <sheetFormatPr defaultRowHeight="13.5" x14ac:dyDescent="0.15"/>
  <cols>
    <col min="1" max="1" width="14.625" customWidth="1"/>
    <col min="2" max="2" width="10.75" customWidth="1"/>
  </cols>
  <sheetData>
    <row r="2" spans="1:13" ht="14.25" thickBot="1" x14ac:dyDescent="0.2">
      <c r="A2" t="s">
        <v>207</v>
      </c>
    </row>
    <row r="3" spans="1:13" x14ac:dyDescent="0.15">
      <c r="A3" s="153" t="s">
        <v>180</v>
      </c>
      <c r="B3" s="164"/>
      <c r="C3" s="85" t="s">
        <v>194</v>
      </c>
      <c r="D3" s="86" t="s">
        <v>195</v>
      </c>
      <c r="E3" s="86" t="s">
        <v>196</v>
      </c>
      <c r="F3" s="86" t="s">
        <v>197</v>
      </c>
      <c r="G3" s="86" t="s">
        <v>198</v>
      </c>
      <c r="H3" s="86" t="s">
        <v>199</v>
      </c>
      <c r="I3" s="86" t="s">
        <v>200</v>
      </c>
      <c r="J3" s="86" t="s">
        <v>201</v>
      </c>
      <c r="K3" s="86" t="s">
        <v>202</v>
      </c>
      <c r="L3" s="86" t="s">
        <v>203</v>
      </c>
      <c r="M3" s="165" t="s">
        <v>136</v>
      </c>
    </row>
    <row r="4" spans="1:13" ht="13.15" customHeight="1" x14ac:dyDescent="0.15">
      <c r="A4" s="167" t="s">
        <v>181</v>
      </c>
      <c r="B4" s="168"/>
      <c r="C4" s="76">
        <v>300</v>
      </c>
      <c r="D4" s="77">
        <v>450</v>
      </c>
      <c r="E4" s="77">
        <v>520</v>
      </c>
      <c r="F4" s="77">
        <v>530</v>
      </c>
      <c r="G4" s="77">
        <v>600</v>
      </c>
      <c r="H4" s="77">
        <v>200</v>
      </c>
      <c r="I4" s="77">
        <v>150</v>
      </c>
      <c r="J4" s="78">
        <v>300</v>
      </c>
      <c r="K4" s="78">
        <v>200</v>
      </c>
      <c r="L4" s="78">
        <v>400</v>
      </c>
      <c r="M4" s="166"/>
    </row>
    <row r="5" spans="1:13" x14ac:dyDescent="0.15">
      <c r="A5" s="169" t="s">
        <v>182</v>
      </c>
      <c r="B5" s="74" t="s">
        <v>189</v>
      </c>
      <c r="C5" s="79">
        <v>133</v>
      </c>
      <c r="D5" s="37">
        <v>128</v>
      </c>
      <c r="E5" s="37">
        <v>165</v>
      </c>
      <c r="F5" s="37">
        <v>78</v>
      </c>
      <c r="G5" s="37">
        <v>111</v>
      </c>
      <c r="H5" s="37">
        <v>250</v>
      </c>
      <c r="I5" s="37">
        <v>120</v>
      </c>
      <c r="J5" s="37">
        <v>122</v>
      </c>
      <c r="K5" s="37">
        <v>158</v>
      </c>
      <c r="L5" s="37">
        <v>88</v>
      </c>
      <c r="M5" s="87">
        <f t="shared" ref="M5:M12" si="0">SUM(C5:L5)</f>
        <v>1353</v>
      </c>
    </row>
    <row r="6" spans="1:13" x14ac:dyDescent="0.15">
      <c r="A6" s="169"/>
      <c r="B6" s="74" t="s">
        <v>190</v>
      </c>
      <c r="C6" s="79">
        <v>153</v>
      </c>
      <c r="D6" s="37">
        <v>113</v>
      </c>
      <c r="E6" s="37">
        <v>170</v>
      </c>
      <c r="F6" s="37">
        <v>82</v>
      </c>
      <c r="G6" s="37">
        <v>125</v>
      </c>
      <c r="H6" s="37">
        <v>210</v>
      </c>
      <c r="I6" s="37">
        <v>140</v>
      </c>
      <c r="J6" s="37">
        <v>108</v>
      </c>
      <c r="K6" s="37">
        <v>156</v>
      </c>
      <c r="L6" s="37">
        <v>78</v>
      </c>
      <c r="M6" s="87">
        <f t="shared" si="0"/>
        <v>1335</v>
      </c>
    </row>
    <row r="7" spans="1:13" x14ac:dyDescent="0.15">
      <c r="A7" s="169"/>
      <c r="B7" s="74" t="s">
        <v>191</v>
      </c>
      <c r="C7" s="79">
        <v>144</v>
      </c>
      <c r="D7" s="37">
        <v>131</v>
      </c>
      <c r="E7" s="37">
        <v>185</v>
      </c>
      <c r="F7" s="37">
        <v>85</v>
      </c>
      <c r="G7" s="37">
        <v>132</v>
      </c>
      <c r="H7" s="37">
        <v>200</v>
      </c>
      <c r="I7" s="37">
        <v>160</v>
      </c>
      <c r="J7" s="37">
        <v>126</v>
      </c>
      <c r="K7" s="37">
        <v>151</v>
      </c>
      <c r="L7" s="37">
        <v>82</v>
      </c>
      <c r="M7" s="87">
        <f t="shared" si="0"/>
        <v>1396</v>
      </c>
    </row>
    <row r="8" spans="1:13" x14ac:dyDescent="0.15">
      <c r="A8" s="167" t="s">
        <v>216</v>
      </c>
      <c r="B8" s="168"/>
      <c r="C8" s="79">
        <f t="shared" ref="C8:L8" si="1">SUM(C5:C7)</f>
        <v>430</v>
      </c>
      <c r="D8" s="37">
        <f t="shared" si="1"/>
        <v>372</v>
      </c>
      <c r="E8" s="37">
        <f t="shared" si="1"/>
        <v>520</v>
      </c>
      <c r="F8" s="37">
        <f t="shared" si="1"/>
        <v>245</v>
      </c>
      <c r="G8" s="37">
        <f t="shared" si="1"/>
        <v>368</v>
      </c>
      <c r="H8" s="37">
        <f t="shared" si="1"/>
        <v>660</v>
      </c>
      <c r="I8" s="37">
        <f t="shared" si="1"/>
        <v>420</v>
      </c>
      <c r="J8" s="37">
        <f t="shared" si="1"/>
        <v>356</v>
      </c>
      <c r="K8" s="37">
        <f t="shared" si="1"/>
        <v>465</v>
      </c>
      <c r="L8" s="37">
        <f t="shared" si="1"/>
        <v>248</v>
      </c>
      <c r="M8" s="87">
        <f t="shared" si="0"/>
        <v>4084</v>
      </c>
    </row>
    <row r="9" spans="1:13" x14ac:dyDescent="0.15">
      <c r="A9" s="167" t="s">
        <v>184</v>
      </c>
      <c r="B9" s="168"/>
      <c r="C9" s="79">
        <f t="shared" ref="C9:L9" si="2">AVERAGE(C5:C7)</f>
        <v>143.33333333333334</v>
      </c>
      <c r="D9" s="37">
        <f t="shared" si="2"/>
        <v>124</v>
      </c>
      <c r="E9" s="37">
        <f t="shared" si="2"/>
        <v>173.33333333333334</v>
      </c>
      <c r="F9" s="37">
        <f t="shared" si="2"/>
        <v>81.666666666666671</v>
      </c>
      <c r="G9" s="37">
        <f t="shared" si="2"/>
        <v>122.66666666666667</v>
      </c>
      <c r="H9" s="37">
        <f t="shared" si="2"/>
        <v>220</v>
      </c>
      <c r="I9" s="37">
        <f t="shared" si="2"/>
        <v>140</v>
      </c>
      <c r="J9" s="37">
        <f t="shared" si="2"/>
        <v>118.66666666666667</v>
      </c>
      <c r="K9" s="37">
        <f t="shared" si="2"/>
        <v>155</v>
      </c>
      <c r="L9" s="37">
        <f t="shared" si="2"/>
        <v>82.666666666666671</v>
      </c>
      <c r="M9" s="87">
        <f t="shared" si="0"/>
        <v>1361.3333333333335</v>
      </c>
    </row>
    <row r="10" spans="1:13" x14ac:dyDescent="0.15">
      <c r="A10" s="160" t="s">
        <v>185</v>
      </c>
      <c r="B10" s="75" t="s">
        <v>192</v>
      </c>
      <c r="C10" s="80">
        <f t="shared" ref="C10:L10" si="3">C8*C4</f>
        <v>129000</v>
      </c>
      <c r="D10" s="81">
        <f t="shared" si="3"/>
        <v>167400</v>
      </c>
      <c r="E10" s="81">
        <f t="shared" si="3"/>
        <v>270400</v>
      </c>
      <c r="F10" s="81">
        <f t="shared" si="3"/>
        <v>129850</v>
      </c>
      <c r="G10" s="81">
        <f t="shared" si="3"/>
        <v>220800</v>
      </c>
      <c r="H10" s="81">
        <f t="shared" si="3"/>
        <v>132000</v>
      </c>
      <c r="I10" s="81">
        <f t="shared" si="3"/>
        <v>63000</v>
      </c>
      <c r="J10" s="81">
        <f t="shared" si="3"/>
        <v>106800</v>
      </c>
      <c r="K10" s="81">
        <f t="shared" si="3"/>
        <v>93000</v>
      </c>
      <c r="L10" s="81">
        <f t="shared" si="3"/>
        <v>99200</v>
      </c>
      <c r="M10" s="88">
        <f t="shared" si="0"/>
        <v>1411450</v>
      </c>
    </row>
    <row r="11" spans="1:13" x14ac:dyDescent="0.15">
      <c r="A11" s="160"/>
      <c r="B11" s="75" t="s">
        <v>193</v>
      </c>
      <c r="C11" s="82">
        <f t="shared" ref="C11:L11" si="4">ROUNDDOWN(C10/(1+$I$19),0)</f>
        <v>129000</v>
      </c>
      <c r="D11" s="81">
        <f t="shared" si="4"/>
        <v>167400</v>
      </c>
      <c r="E11" s="81">
        <f t="shared" si="4"/>
        <v>270400</v>
      </c>
      <c r="F11" s="81">
        <f t="shared" si="4"/>
        <v>129850</v>
      </c>
      <c r="G11" s="81">
        <f t="shared" si="4"/>
        <v>220800</v>
      </c>
      <c r="H11" s="81">
        <f t="shared" si="4"/>
        <v>132000</v>
      </c>
      <c r="I11" s="81">
        <f t="shared" si="4"/>
        <v>63000</v>
      </c>
      <c r="J11" s="81">
        <f t="shared" si="4"/>
        <v>106800</v>
      </c>
      <c r="K11" s="81">
        <f t="shared" si="4"/>
        <v>93000</v>
      </c>
      <c r="L11" s="81">
        <f t="shared" si="4"/>
        <v>99200</v>
      </c>
      <c r="M11" s="88">
        <f t="shared" si="0"/>
        <v>1411450</v>
      </c>
    </row>
    <row r="12" spans="1:13" x14ac:dyDescent="0.15">
      <c r="A12" s="160" t="s">
        <v>186</v>
      </c>
      <c r="B12" s="161"/>
      <c r="C12" s="82">
        <v>150000</v>
      </c>
      <c r="D12" s="40">
        <v>174600</v>
      </c>
      <c r="E12" s="40">
        <v>208000</v>
      </c>
      <c r="F12" s="40">
        <v>132500</v>
      </c>
      <c r="G12" s="40">
        <v>240000</v>
      </c>
      <c r="H12" s="40">
        <v>109000</v>
      </c>
      <c r="I12" s="40">
        <v>45000</v>
      </c>
      <c r="J12" s="40">
        <v>99900</v>
      </c>
      <c r="K12" s="40">
        <v>91000</v>
      </c>
      <c r="L12" s="40">
        <v>107200</v>
      </c>
      <c r="M12" s="88">
        <f t="shared" si="0"/>
        <v>1357200</v>
      </c>
    </row>
    <row r="13" spans="1:13" x14ac:dyDescent="0.15">
      <c r="A13" s="160" t="s">
        <v>187</v>
      </c>
      <c r="B13" s="161"/>
      <c r="C13" s="83">
        <f t="shared" ref="C13:M13" si="5">C10/C12</f>
        <v>0.86</v>
      </c>
      <c r="D13" s="84">
        <f t="shared" si="5"/>
        <v>0.95876288659793818</v>
      </c>
      <c r="E13" s="84">
        <f t="shared" si="5"/>
        <v>1.3</v>
      </c>
      <c r="F13" s="84">
        <f t="shared" si="5"/>
        <v>0.98</v>
      </c>
      <c r="G13" s="84">
        <f t="shared" si="5"/>
        <v>0.92</v>
      </c>
      <c r="H13" s="84">
        <f t="shared" si="5"/>
        <v>1.2110091743119267</v>
      </c>
      <c r="I13" s="84">
        <f t="shared" si="5"/>
        <v>1.4</v>
      </c>
      <c r="J13" s="84">
        <f t="shared" si="5"/>
        <v>1.0690690690690692</v>
      </c>
      <c r="K13" s="84">
        <f t="shared" si="5"/>
        <v>1.0219780219780219</v>
      </c>
      <c r="L13" s="84">
        <f t="shared" si="5"/>
        <v>0.92537313432835822</v>
      </c>
      <c r="M13" s="89">
        <f t="shared" si="5"/>
        <v>1.0399720011788978</v>
      </c>
    </row>
    <row r="14" spans="1:13" ht="28.5" customHeight="1" thickBot="1" x14ac:dyDescent="0.2">
      <c r="A14" s="162" t="s">
        <v>188</v>
      </c>
      <c r="B14" s="163"/>
      <c r="C14" s="90">
        <f t="shared" ref="C14:M14" si="6">C10/$M$10</f>
        <v>9.1395373552020973E-2</v>
      </c>
      <c r="D14" s="91">
        <f t="shared" si="6"/>
        <v>0.11860143823727373</v>
      </c>
      <c r="E14" s="91">
        <f t="shared" si="6"/>
        <v>0.19157603882532148</v>
      </c>
      <c r="F14" s="91">
        <f t="shared" si="6"/>
        <v>9.1997591129689332E-2</v>
      </c>
      <c r="G14" s="91">
        <f t="shared" si="6"/>
        <v>0.15643487194020333</v>
      </c>
      <c r="H14" s="91">
        <f t="shared" si="6"/>
        <v>9.3520847355556339E-2</v>
      </c>
      <c r="I14" s="91">
        <f t="shared" si="6"/>
        <v>4.4634949874242803E-2</v>
      </c>
      <c r="J14" s="91">
        <f t="shared" si="6"/>
        <v>7.566686740585922E-2</v>
      </c>
      <c r="K14" s="91">
        <f t="shared" si="6"/>
        <v>6.5889687909596512E-2</v>
      </c>
      <c r="L14" s="91">
        <f t="shared" si="6"/>
        <v>7.028233377023628E-2</v>
      </c>
      <c r="M14" s="92">
        <f t="shared" si="6"/>
        <v>1</v>
      </c>
    </row>
    <row r="16" spans="1:13" x14ac:dyDescent="0.15">
      <c r="A16" s="3" t="s">
        <v>150</v>
      </c>
      <c r="B16" s="2"/>
      <c r="C16" s="2"/>
    </row>
    <row r="17" spans="1:3" x14ac:dyDescent="0.15">
      <c r="A17" s="3" t="s">
        <v>260</v>
      </c>
      <c r="B17" s="2"/>
      <c r="C17" s="2"/>
    </row>
    <row r="18" spans="1:3" ht="14.25" thickBot="1" x14ac:dyDescent="0.2">
      <c r="A18" s="2" t="s">
        <v>283</v>
      </c>
      <c r="B18" s="2"/>
      <c r="C18" s="2"/>
    </row>
    <row r="19" spans="1:3" x14ac:dyDescent="0.15">
      <c r="A19" s="2"/>
      <c r="B19" s="68" t="s">
        <v>180</v>
      </c>
      <c r="C19" s="69" t="s">
        <v>215</v>
      </c>
    </row>
    <row r="20" spans="1:3" ht="14.25" thickBot="1" x14ac:dyDescent="0.2">
      <c r="A20" s="2"/>
      <c r="B20" s="70" t="s">
        <v>205</v>
      </c>
      <c r="C20" s="71">
        <f>HLOOKUP(C19,$C$3:$L$14,2,0)</f>
        <v>200</v>
      </c>
    </row>
    <row r="21" spans="1:3" x14ac:dyDescent="0.15">
      <c r="A21" s="2"/>
      <c r="B21" s="2"/>
      <c r="C21" s="2"/>
    </row>
    <row r="22" spans="1:3" x14ac:dyDescent="0.15">
      <c r="A22" s="3" t="s">
        <v>261</v>
      </c>
      <c r="B22" s="2"/>
      <c r="C22" s="2"/>
    </row>
    <row r="23" spans="1:3" ht="14.25" thickBot="1" x14ac:dyDescent="0.2">
      <c r="A23" s="2" t="s">
        <v>217</v>
      </c>
      <c r="B23" s="2"/>
      <c r="C23" s="2"/>
    </row>
    <row r="24" spans="1:3" x14ac:dyDescent="0.15">
      <c r="A24" s="2"/>
      <c r="B24" s="68" t="s">
        <v>180</v>
      </c>
      <c r="C24" s="69" t="s">
        <v>206</v>
      </c>
    </row>
    <row r="25" spans="1:3" ht="14.25" thickBot="1" x14ac:dyDescent="0.2">
      <c r="A25" s="2"/>
      <c r="B25" s="70" t="s">
        <v>205</v>
      </c>
      <c r="C25" s="71">
        <f>HLOOKUP(C24,$C$3:$L$14,6,0)</f>
        <v>430</v>
      </c>
    </row>
  </sheetData>
  <mergeCells count="10">
    <mergeCell ref="A13:B13"/>
    <mergeCell ref="A14:B14"/>
    <mergeCell ref="A3:B3"/>
    <mergeCell ref="M3:M4"/>
    <mergeCell ref="A4:B4"/>
    <mergeCell ref="A5:A7"/>
    <mergeCell ref="A8:B8"/>
    <mergeCell ref="A9:B9"/>
    <mergeCell ref="A10:A11"/>
    <mergeCell ref="A12:B12"/>
  </mergeCells>
  <phoneticPr fontId="3"/>
  <pageMargins left="0.7" right="0.7" top="0.75" bottom="0.75" header="0.3" footer="0.3"/>
  <ignoredErrors>
    <ignoredError sqref="C8:L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2:H14"/>
  <sheetViews>
    <sheetView workbookViewId="0"/>
  </sheetViews>
  <sheetFormatPr defaultRowHeight="13.5" x14ac:dyDescent="0.15"/>
  <cols>
    <col min="1" max="1" width="16.125" customWidth="1"/>
    <col min="6" max="6" width="10.875" customWidth="1"/>
    <col min="7" max="8" width="16.125" bestFit="1" customWidth="1"/>
  </cols>
  <sheetData>
    <row r="2" spans="1:8" ht="14.25" thickBot="1" x14ac:dyDescent="0.2">
      <c r="A2" t="s">
        <v>207</v>
      </c>
      <c r="F2" s="3" t="s">
        <v>150</v>
      </c>
    </row>
    <row r="3" spans="1:8" x14ac:dyDescent="0.15">
      <c r="A3" s="170" t="s">
        <v>180</v>
      </c>
      <c r="B3" s="172" t="s">
        <v>182</v>
      </c>
      <c r="C3" s="173"/>
      <c r="D3" s="174"/>
      <c r="F3" s="3" t="s">
        <v>281</v>
      </c>
    </row>
    <row r="4" spans="1:8" ht="14.25" thickBot="1" x14ac:dyDescent="0.2">
      <c r="A4" s="171"/>
      <c r="B4" s="18" t="s">
        <v>189</v>
      </c>
      <c r="C4" s="19" t="s">
        <v>190</v>
      </c>
      <c r="D4" s="93" t="s">
        <v>191</v>
      </c>
      <c r="F4" s="2" t="s">
        <v>221</v>
      </c>
    </row>
    <row r="5" spans="1:8" ht="14.25" thickTop="1" x14ac:dyDescent="0.15">
      <c r="A5" s="23" t="s">
        <v>194</v>
      </c>
      <c r="B5" s="25">
        <v>133</v>
      </c>
      <c r="C5" s="26">
        <v>153</v>
      </c>
      <c r="D5" s="94">
        <v>144</v>
      </c>
      <c r="F5" s="106" t="s">
        <v>218</v>
      </c>
      <c r="G5" s="101">
        <v>4</v>
      </c>
    </row>
    <row r="6" spans="1:8" x14ac:dyDescent="0.15">
      <c r="A6" s="23" t="s">
        <v>195</v>
      </c>
      <c r="B6" s="34">
        <v>128</v>
      </c>
      <c r="C6" s="35">
        <v>113</v>
      </c>
      <c r="D6" s="95">
        <v>131</v>
      </c>
      <c r="F6" s="107" t="s">
        <v>219</v>
      </c>
      <c r="G6" s="103">
        <v>2</v>
      </c>
    </row>
    <row r="7" spans="1:8" ht="14.25" thickBot="1" x14ac:dyDescent="0.2">
      <c r="A7" s="23" t="s">
        <v>196</v>
      </c>
      <c r="B7" s="34">
        <v>165</v>
      </c>
      <c r="C7" s="35">
        <v>170</v>
      </c>
      <c r="D7" s="95">
        <v>185</v>
      </c>
      <c r="F7" s="108" t="s">
        <v>220</v>
      </c>
      <c r="G7" s="105"/>
    </row>
    <row r="8" spans="1:8" x14ac:dyDescent="0.15">
      <c r="A8" s="23" t="s">
        <v>197</v>
      </c>
      <c r="B8" s="34">
        <v>78</v>
      </c>
      <c r="C8" s="35">
        <v>82</v>
      </c>
      <c r="D8" s="95">
        <v>85</v>
      </c>
    </row>
    <row r="9" spans="1:8" x14ac:dyDescent="0.15">
      <c r="A9" s="23" t="s">
        <v>198</v>
      </c>
      <c r="B9" s="34">
        <v>111</v>
      </c>
      <c r="C9" s="35">
        <v>125</v>
      </c>
      <c r="D9" s="95">
        <v>132</v>
      </c>
      <c r="F9" s="3" t="s">
        <v>225</v>
      </c>
    </row>
    <row r="10" spans="1:8" ht="14.25" thickBot="1" x14ac:dyDescent="0.2">
      <c r="A10" s="23" t="s">
        <v>199</v>
      </c>
      <c r="B10" s="34">
        <v>250</v>
      </c>
      <c r="C10" s="35">
        <v>210</v>
      </c>
      <c r="D10" s="95">
        <v>200</v>
      </c>
      <c r="F10" s="2" t="s">
        <v>226</v>
      </c>
    </row>
    <row r="11" spans="1:8" ht="14.25" thickBot="1" x14ac:dyDescent="0.2">
      <c r="A11" s="23" t="s">
        <v>200</v>
      </c>
      <c r="B11" s="34">
        <v>120</v>
      </c>
      <c r="C11" s="35">
        <v>140</v>
      </c>
      <c r="D11" s="95">
        <v>160</v>
      </c>
      <c r="F11" s="106" t="s">
        <v>180</v>
      </c>
      <c r="G11" s="101" t="s">
        <v>224</v>
      </c>
    </row>
    <row r="12" spans="1:8" ht="14.25" thickBot="1" x14ac:dyDescent="0.2">
      <c r="A12" s="23" t="s">
        <v>201</v>
      </c>
      <c r="B12" s="34">
        <v>122</v>
      </c>
      <c r="C12" s="35">
        <v>108</v>
      </c>
      <c r="D12" s="95">
        <v>126</v>
      </c>
      <c r="F12" s="108" t="s">
        <v>222</v>
      </c>
      <c r="G12" s="142"/>
      <c r="H12" s="110" t="s">
        <v>223</v>
      </c>
    </row>
    <row r="13" spans="1:8" x14ac:dyDescent="0.15">
      <c r="A13" s="23" t="s">
        <v>202</v>
      </c>
      <c r="B13" s="34">
        <v>158</v>
      </c>
      <c r="C13" s="35">
        <v>156</v>
      </c>
      <c r="D13" s="95">
        <v>151</v>
      </c>
    </row>
    <row r="14" spans="1:8" ht="14.25" thickBot="1" x14ac:dyDescent="0.2">
      <c r="A14" s="96" t="s">
        <v>203</v>
      </c>
      <c r="B14" s="97">
        <v>88</v>
      </c>
      <c r="C14" s="98">
        <v>78</v>
      </c>
      <c r="D14" s="99">
        <v>82</v>
      </c>
    </row>
  </sheetData>
  <mergeCells count="2">
    <mergeCell ref="A3:A4"/>
    <mergeCell ref="B3:D3"/>
  </mergeCells>
  <phoneticPr fontId="3"/>
  <conditionalFormatting sqref="G7 G12">
    <cfRule type="containsBlanks" dxfId="3" priority="1">
      <formula>LEN(TRIM(G7))=0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/>
  <dimension ref="A2:G8"/>
  <sheetViews>
    <sheetView workbookViewId="0"/>
  </sheetViews>
  <sheetFormatPr defaultRowHeight="13.5" x14ac:dyDescent="0.15"/>
  <cols>
    <col min="1" max="1" width="16.125" customWidth="1"/>
    <col min="6" max="6" width="10.875" customWidth="1"/>
    <col min="7" max="8" width="16.125" bestFit="1" customWidth="1"/>
  </cols>
  <sheetData>
    <row r="2" spans="1:7" ht="14.25" thickBot="1" x14ac:dyDescent="0.2">
      <c r="A2" t="s">
        <v>233</v>
      </c>
      <c r="F2" s="3" t="s">
        <v>150</v>
      </c>
    </row>
    <row r="3" spans="1:7" x14ac:dyDescent="0.15">
      <c r="A3" s="111" t="s">
        <v>6</v>
      </c>
      <c r="B3" s="112" t="s">
        <v>7</v>
      </c>
      <c r="C3" s="112" t="s">
        <v>8</v>
      </c>
      <c r="D3" s="113" t="s">
        <v>9</v>
      </c>
      <c r="F3" s="3" t="s">
        <v>251</v>
      </c>
    </row>
    <row r="4" spans="1:7" ht="14.25" thickBot="1" x14ac:dyDescent="0.2">
      <c r="A4" s="102" t="s">
        <v>227</v>
      </c>
      <c r="B4" s="1">
        <v>30</v>
      </c>
      <c r="C4" s="1">
        <v>100</v>
      </c>
      <c r="D4" s="103" t="s">
        <v>11</v>
      </c>
      <c r="F4" s="2" t="s">
        <v>234</v>
      </c>
    </row>
    <row r="5" spans="1:7" x14ac:dyDescent="0.15">
      <c r="A5" s="102" t="s">
        <v>228</v>
      </c>
      <c r="B5" s="1">
        <v>60</v>
      </c>
      <c r="C5" s="1">
        <v>80</v>
      </c>
      <c r="D5" s="103" t="s">
        <v>13</v>
      </c>
      <c r="F5" s="106" t="s">
        <v>232</v>
      </c>
      <c r="G5" s="101" t="s">
        <v>15</v>
      </c>
    </row>
    <row r="6" spans="1:7" ht="14.25" thickBot="1" x14ac:dyDescent="0.2">
      <c r="A6" s="102" t="s">
        <v>229</v>
      </c>
      <c r="B6" s="1">
        <v>45</v>
      </c>
      <c r="C6" s="1">
        <v>130</v>
      </c>
      <c r="D6" s="103" t="s">
        <v>15</v>
      </c>
      <c r="F6" s="108" t="s">
        <v>6</v>
      </c>
      <c r="G6" s="105"/>
    </row>
    <row r="7" spans="1:7" x14ac:dyDescent="0.15">
      <c r="A7" s="102" t="s">
        <v>230</v>
      </c>
      <c r="B7" s="1">
        <v>50</v>
      </c>
      <c r="C7" s="1">
        <v>120</v>
      </c>
      <c r="D7" s="103" t="s">
        <v>17</v>
      </c>
    </row>
    <row r="8" spans="1:7" ht="14.25" thickBot="1" x14ac:dyDescent="0.2">
      <c r="A8" s="104" t="s">
        <v>231</v>
      </c>
      <c r="B8" s="114">
        <v>55</v>
      </c>
      <c r="C8" s="114">
        <v>110</v>
      </c>
      <c r="D8" s="105" t="s">
        <v>19</v>
      </c>
    </row>
  </sheetData>
  <phoneticPr fontId="3"/>
  <conditionalFormatting sqref="G6">
    <cfRule type="containsBlanks" dxfId="2" priority="1">
      <formula>LEN(TRIM(G6))=0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0"/>
  <dimension ref="A1:P11"/>
  <sheetViews>
    <sheetView workbookViewId="0"/>
  </sheetViews>
  <sheetFormatPr defaultRowHeight="13.5" x14ac:dyDescent="0.15"/>
  <cols>
    <col min="1" max="2" width="2.5" bestFit="1" customWidth="1"/>
    <col min="3" max="10" width="3.5" bestFit="1" customWidth="1"/>
  </cols>
  <sheetData>
    <row r="1" spans="1:16" ht="14.25" thickBot="1" x14ac:dyDescent="0.2">
      <c r="A1" t="s">
        <v>246</v>
      </c>
    </row>
    <row r="2" spans="1:16" ht="14.25" thickBot="1" x14ac:dyDescent="0.2">
      <c r="A2" s="109"/>
      <c r="B2" s="123">
        <v>1</v>
      </c>
      <c r="C2" s="124">
        <v>2</v>
      </c>
      <c r="D2" s="124">
        <v>3</v>
      </c>
      <c r="E2" s="124">
        <v>4</v>
      </c>
      <c r="F2" s="124">
        <v>5</v>
      </c>
      <c r="G2" s="124">
        <v>6</v>
      </c>
      <c r="H2" s="124">
        <v>7</v>
      </c>
      <c r="I2" s="124">
        <v>8</v>
      </c>
      <c r="J2" s="5">
        <v>9</v>
      </c>
      <c r="L2" s="3" t="s">
        <v>150</v>
      </c>
    </row>
    <row r="3" spans="1:16" x14ac:dyDescent="0.15">
      <c r="A3" s="120">
        <v>1</v>
      </c>
      <c r="B3" s="121">
        <f>$A3*B$2</f>
        <v>1</v>
      </c>
      <c r="C3" s="122">
        <f t="shared" ref="C3:J11" si="0">$A3*C$2</f>
        <v>2</v>
      </c>
      <c r="D3" s="122">
        <f t="shared" si="0"/>
        <v>3</v>
      </c>
      <c r="E3" s="122">
        <f t="shared" si="0"/>
        <v>4</v>
      </c>
      <c r="F3" s="122">
        <f t="shared" si="0"/>
        <v>5</v>
      </c>
      <c r="G3" s="122">
        <f t="shared" si="0"/>
        <v>6</v>
      </c>
      <c r="H3" s="122">
        <f t="shared" si="0"/>
        <v>7</v>
      </c>
      <c r="I3" s="122">
        <f>$A3*I$2</f>
        <v>8</v>
      </c>
      <c r="J3" s="125">
        <f t="shared" si="0"/>
        <v>9</v>
      </c>
      <c r="L3" s="3" t="s">
        <v>249</v>
      </c>
    </row>
    <row r="4" spans="1:16" ht="14.25" thickBot="1" x14ac:dyDescent="0.2">
      <c r="A4" s="118">
        <v>2</v>
      </c>
      <c r="B4" s="117">
        <f t="shared" ref="B4:B11" si="1">$A4*B$2</f>
        <v>2</v>
      </c>
      <c r="C4" s="1">
        <f t="shared" si="0"/>
        <v>4</v>
      </c>
      <c r="D4" s="1">
        <f t="shared" si="0"/>
        <v>6</v>
      </c>
      <c r="E4" s="1">
        <f t="shared" si="0"/>
        <v>8</v>
      </c>
      <c r="F4" s="1">
        <f t="shared" si="0"/>
        <v>10</v>
      </c>
      <c r="G4" s="1">
        <f t="shared" si="0"/>
        <v>12</v>
      </c>
      <c r="H4" s="1">
        <f t="shared" si="0"/>
        <v>14</v>
      </c>
      <c r="I4" s="1">
        <f t="shared" si="0"/>
        <v>16</v>
      </c>
      <c r="J4" s="103">
        <f t="shared" si="0"/>
        <v>18</v>
      </c>
      <c r="L4" s="2"/>
    </row>
    <row r="5" spans="1:16" ht="14.25" thickBot="1" x14ac:dyDescent="0.2">
      <c r="A5" s="118">
        <v>3</v>
      </c>
      <c r="B5" s="117">
        <f t="shared" si="1"/>
        <v>3</v>
      </c>
      <c r="C5" s="1">
        <f t="shared" si="0"/>
        <v>6</v>
      </c>
      <c r="D5" s="1">
        <f t="shared" si="0"/>
        <v>9</v>
      </c>
      <c r="E5" s="1">
        <f t="shared" si="0"/>
        <v>12</v>
      </c>
      <c r="F5" s="1">
        <f t="shared" si="0"/>
        <v>15</v>
      </c>
      <c r="G5" s="1">
        <f t="shared" si="0"/>
        <v>18</v>
      </c>
      <c r="H5" s="1">
        <f t="shared" si="0"/>
        <v>21</v>
      </c>
      <c r="I5" s="1">
        <f t="shared" si="0"/>
        <v>24</v>
      </c>
      <c r="J5" s="103">
        <f t="shared" si="0"/>
        <v>27</v>
      </c>
      <c r="L5" s="109">
        <v>5</v>
      </c>
      <c r="M5" s="127" t="s">
        <v>248</v>
      </c>
      <c r="N5" s="129">
        <v>7</v>
      </c>
      <c r="O5" s="127" t="s">
        <v>247</v>
      </c>
      <c r="P5" s="109"/>
    </row>
    <row r="6" spans="1:16" x14ac:dyDescent="0.15">
      <c r="A6" s="118">
        <v>4</v>
      </c>
      <c r="B6" s="117">
        <f t="shared" si="1"/>
        <v>4</v>
      </c>
      <c r="C6" s="1">
        <f t="shared" si="0"/>
        <v>8</v>
      </c>
      <c r="D6" s="1">
        <f t="shared" si="0"/>
        <v>12</v>
      </c>
      <c r="E6" s="1">
        <f t="shared" si="0"/>
        <v>16</v>
      </c>
      <c r="F6" s="1">
        <f t="shared" si="0"/>
        <v>20</v>
      </c>
      <c r="G6" s="1">
        <f t="shared" si="0"/>
        <v>24</v>
      </c>
      <c r="H6" s="1">
        <f t="shared" si="0"/>
        <v>28</v>
      </c>
      <c r="I6" s="1">
        <f t="shared" si="0"/>
        <v>32</v>
      </c>
      <c r="J6" s="103">
        <f t="shared" si="0"/>
        <v>36</v>
      </c>
    </row>
    <row r="7" spans="1:16" x14ac:dyDescent="0.15">
      <c r="A7" s="118">
        <v>5</v>
      </c>
      <c r="B7" s="117">
        <f t="shared" si="1"/>
        <v>5</v>
      </c>
      <c r="C7" s="1">
        <f t="shared" si="0"/>
        <v>10</v>
      </c>
      <c r="D7" s="1">
        <f t="shared" si="0"/>
        <v>15</v>
      </c>
      <c r="E7" s="1">
        <f t="shared" si="0"/>
        <v>20</v>
      </c>
      <c r="F7" s="1">
        <f t="shared" si="0"/>
        <v>25</v>
      </c>
      <c r="G7" s="1">
        <f t="shared" si="0"/>
        <v>30</v>
      </c>
      <c r="H7" s="1">
        <f t="shared" si="0"/>
        <v>35</v>
      </c>
      <c r="I7" s="1">
        <f t="shared" si="0"/>
        <v>40</v>
      </c>
      <c r="J7" s="103">
        <f t="shared" si="0"/>
        <v>45</v>
      </c>
    </row>
    <row r="8" spans="1:16" x14ac:dyDescent="0.15">
      <c r="A8" s="118">
        <v>6</v>
      </c>
      <c r="B8" s="117">
        <f t="shared" si="1"/>
        <v>6</v>
      </c>
      <c r="C8" s="1">
        <f t="shared" si="0"/>
        <v>12</v>
      </c>
      <c r="D8" s="1">
        <f t="shared" si="0"/>
        <v>18</v>
      </c>
      <c r="E8" s="1">
        <f t="shared" si="0"/>
        <v>24</v>
      </c>
      <c r="F8" s="1">
        <f t="shared" si="0"/>
        <v>30</v>
      </c>
      <c r="G8" s="1">
        <f t="shared" si="0"/>
        <v>36</v>
      </c>
      <c r="H8" s="1">
        <f t="shared" si="0"/>
        <v>42</v>
      </c>
      <c r="I8" s="1">
        <f t="shared" si="0"/>
        <v>48</v>
      </c>
      <c r="J8" s="103">
        <f t="shared" si="0"/>
        <v>54</v>
      </c>
    </row>
    <row r="9" spans="1:16" x14ac:dyDescent="0.15">
      <c r="A9" s="118">
        <v>7</v>
      </c>
      <c r="B9" s="117">
        <f t="shared" si="1"/>
        <v>7</v>
      </c>
      <c r="C9" s="1">
        <f t="shared" si="0"/>
        <v>14</v>
      </c>
      <c r="D9" s="1">
        <f t="shared" si="0"/>
        <v>21</v>
      </c>
      <c r="E9" s="1">
        <f t="shared" si="0"/>
        <v>28</v>
      </c>
      <c r="F9" s="1">
        <f t="shared" si="0"/>
        <v>35</v>
      </c>
      <c r="G9" s="1">
        <f t="shared" si="0"/>
        <v>42</v>
      </c>
      <c r="H9" s="1">
        <f t="shared" si="0"/>
        <v>49</v>
      </c>
      <c r="I9" s="1">
        <f t="shared" si="0"/>
        <v>56</v>
      </c>
      <c r="J9" s="103">
        <f t="shared" si="0"/>
        <v>63</v>
      </c>
    </row>
    <row r="10" spans="1:16" x14ac:dyDescent="0.15">
      <c r="A10" s="118">
        <v>8</v>
      </c>
      <c r="B10" s="117">
        <f t="shared" si="1"/>
        <v>8</v>
      </c>
      <c r="C10" s="1">
        <f t="shared" si="0"/>
        <v>16</v>
      </c>
      <c r="D10" s="1">
        <f t="shared" si="0"/>
        <v>24</v>
      </c>
      <c r="E10" s="1">
        <f t="shared" si="0"/>
        <v>32</v>
      </c>
      <c r="F10" s="1">
        <f t="shared" si="0"/>
        <v>40</v>
      </c>
      <c r="G10" s="1">
        <f t="shared" si="0"/>
        <v>48</v>
      </c>
      <c r="H10" s="1">
        <f t="shared" si="0"/>
        <v>56</v>
      </c>
      <c r="I10" s="1">
        <f t="shared" si="0"/>
        <v>64</v>
      </c>
      <c r="J10" s="103">
        <f t="shared" si="0"/>
        <v>72</v>
      </c>
    </row>
    <row r="11" spans="1:16" ht="14.25" thickBot="1" x14ac:dyDescent="0.2">
      <c r="A11" s="119">
        <v>9</v>
      </c>
      <c r="B11" s="126">
        <f t="shared" si="1"/>
        <v>9</v>
      </c>
      <c r="C11" s="114">
        <f t="shared" si="0"/>
        <v>18</v>
      </c>
      <c r="D11" s="114">
        <f t="shared" si="0"/>
        <v>27</v>
      </c>
      <c r="E11" s="114">
        <f t="shared" si="0"/>
        <v>36</v>
      </c>
      <c r="F11" s="114">
        <f t="shared" si="0"/>
        <v>45</v>
      </c>
      <c r="G11" s="114">
        <f t="shared" si="0"/>
        <v>54</v>
      </c>
      <c r="H11" s="114">
        <f t="shared" si="0"/>
        <v>63</v>
      </c>
      <c r="I11" s="114">
        <f t="shared" si="0"/>
        <v>72</v>
      </c>
      <c r="J11" s="105">
        <f t="shared" si="0"/>
        <v>81</v>
      </c>
    </row>
  </sheetData>
  <phoneticPr fontId="3"/>
  <conditionalFormatting sqref="P5">
    <cfRule type="containsBlanks" dxfId="1" priority="1">
      <formula>LEN(TRIM(P5))=0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/>
  <dimension ref="A2:I12"/>
  <sheetViews>
    <sheetView workbookViewId="0"/>
  </sheetViews>
  <sheetFormatPr defaultRowHeight="13.5" x14ac:dyDescent="0.15"/>
  <cols>
    <col min="1" max="1" width="16.125" customWidth="1"/>
    <col min="2" max="2" width="16.125" bestFit="1" customWidth="1"/>
    <col min="6" max="6" width="10.875" customWidth="1"/>
    <col min="7" max="8" width="16.125" bestFit="1" customWidth="1"/>
  </cols>
  <sheetData>
    <row r="2" spans="1:9" x14ac:dyDescent="0.15">
      <c r="A2" s="1"/>
      <c r="B2" s="1" t="s">
        <v>235</v>
      </c>
      <c r="C2" s="1" t="s">
        <v>236</v>
      </c>
      <c r="D2" s="1" t="s">
        <v>237</v>
      </c>
      <c r="E2" s="1" t="s">
        <v>238</v>
      </c>
      <c r="F2" s="1" t="s">
        <v>239</v>
      </c>
      <c r="G2" s="1" t="s">
        <v>240</v>
      </c>
      <c r="I2" s="3" t="s">
        <v>150</v>
      </c>
    </row>
    <row r="3" spans="1:9" x14ac:dyDescent="0.15">
      <c r="A3" s="1" t="s">
        <v>235</v>
      </c>
      <c r="B3" s="1" t="s">
        <v>241</v>
      </c>
      <c r="C3" s="1">
        <v>250</v>
      </c>
      <c r="D3" s="1">
        <v>300</v>
      </c>
      <c r="E3" s="1">
        <v>600</v>
      </c>
      <c r="F3" s="1">
        <v>850</v>
      </c>
      <c r="G3" s="115">
        <v>1050</v>
      </c>
      <c r="I3" s="3" t="s">
        <v>250</v>
      </c>
    </row>
    <row r="4" spans="1:9" x14ac:dyDescent="0.15">
      <c r="A4" s="1" t="s">
        <v>236</v>
      </c>
      <c r="B4" s="1">
        <v>250</v>
      </c>
      <c r="C4" s="1" t="s">
        <v>241</v>
      </c>
      <c r="D4" s="1">
        <v>300</v>
      </c>
      <c r="E4" s="1">
        <v>600</v>
      </c>
      <c r="F4" s="1">
        <v>850</v>
      </c>
      <c r="G4" s="115">
        <v>1050</v>
      </c>
      <c r="I4" s="2"/>
    </row>
    <row r="5" spans="1:9" x14ac:dyDescent="0.15">
      <c r="A5" s="1" t="s">
        <v>237</v>
      </c>
      <c r="B5" s="1">
        <v>300</v>
      </c>
      <c r="C5" s="1">
        <v>300</v>
      </c>
      <c r="D5" s="1" t="s">
        <v>241</v>
      </c>
      <c r="E5" s="1">
        <v>350</v>
      </c>
      <c r="F5" s="1">
        <v>600</v>
      </c>
      <c r="G5" s="1">
        <v>800</v>
      </c>
    </row>
    <row r="6" spans="1:9" x14ac:dyDescent="0.15">
      <c r="A6" s="1" t="s">
        <v>238</v>
      </c>
      <c r="B6" s="1">
        <v>600</v>
      </c>
      <c r="C6" s="1">
        <v>600</v>
      </c>
      <c r="D6" s="1">
        <v>350</v>
      </c>
      <c r="E6" s="1" t="s">
        <v>241</v>
      </c>
      <c r="F6" s="1">
        <v>350</v>
      </c>
      <c r="G6" s="1">
        <v>600</v>
      </c>
    </row>
    <row r="7" spans="1:9" x14ac:dyDescent="0.15">
      <c r="A7" s="1" t="s">
        <v>239</v>
      </c>
      <c r="B7" s="1">
        <v>850</v>
      </c>
      <c r="C7" s="1">
        <v>850</v>
      </c>
      <c r="D7" s="1">
        <v>600</v>
      </c>
      <c r="E7" s="1">
        <v>350</v>
      </c>
      <c r="F7" s="1" t="s">
        <v>241</v>
      </c>
      <c r="G7" s="1">
        <v>350</v>
      </c>
    </row>
    <row r="8" spans="1:9" x14ac:dyDescent="0.15">
      <c r="A8" s="1" t="s">
        <v>240</v>
      </c>
      <c r="B8" s="115">
        <v>1050</v>
      </c>
      <c r="C8" s="115">
        <v>1050</v>
      </c>
      <c r="D8" s="1">
        <v>800</v>
      </c>
      <c r="E8" s="1">
        <v>600</v>
      </c>
      <c r="F8" s="1">
        <v>350</v>
      </c>
      <c r="G8" s="1" t="s">
        <v>241</v>
      </c>
    </row>
    <row r="9" spans="1:9" ht="14.25" thickBot="1" x14ac:dyDescent="0.2">
      <c r="B9" s="128"/>
      <c r="C9" s="116"/>
      <c r="D9" s="116"/>
      <c r="E9" s="116"/>
      <c r="F9" s="116"/>
      <c r="G9" s="116"/>
    </row>
    <row r="10" spans="1:9" x14ac:dyDescent="0.15">
      <c r="A10" s="100" t="s">
        <v>243</v>
      </c>
      <c r="B10" s="101" t="s">
        <v>245</v>
      </c>
    </row>
    <row r="11" spans="1:9" ht="14.25" thickBot="1" x14ac:dyDescent="0.2">
      <c r="A11" s="104" t="s">
        <v>244</v>
      </c>
      <c r="B11" s="105" t="s">
        <v>240</v>
      </c>
    </row>
    <row r="12" spans="1:9" ht="14.25" thickBot="1" x14ac:dyDescent="0.2">
      <c r="A12" s="4" t="s">
        <v>242</v>
      </c>
      <c r="B12" s="5"/>
    </row>
  </sheetData>
  <phoneticPr fontId="3"/>
  <conditionalFormatting sqref="B12">
    <cfRule type="containsBlanks" dxfId="0" priority="1">
      <formula>LEN(TRIM(B12))=0</formula>
    </cfRule>
  </conditionalFormatting>
  <dataValidations count="1">
    <dataValidation type="list" allowBlank="1" showInputMessage="1" showErrorMessage="1" sqref="B10:B11" xr:uid="{00000000-0002-0000-0D00-000000000000}">
      <formula1>$A$3:$A$8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問1</vt:lpstr>
      <vt:lpstr>問2</vt:lpstr>
      <vt:lpstr>問3</vt:lpstr>
      <vt:lpstr>問4</vt:lpstr>
      <vt:lpstr>問5-1_8</vt:lpstr>
      <vt:lpstr>問5-9</vt:lpstr>
      <vt:lpstr>問5-10</vt:lpstr>
      <vt:lpstr>問5-11,12</vt:lpstr>
      <vt:lpstr>問5-13</vt:lpstr>
      <vt:lpstr>問5-14,15</vt:lpstr>
      <vt:lpstr>問5-16,17</vt:lpstr>
      <vt:lpstr>問5-18</vt:lpstr>
      <vt:lpstr>問5-19</vt:lpstr>
      <vt:lpstr>問5-20</vt:lpstr>
    </vt:vector>
  </TitlesOfParts>
  <Company>ディーピーティー株式会社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ディーピーティー株式会社</dc:creator>
  <cp:lastModifiedBy>雅実 坂巻</cp:lastModifiedBy>
  <cp:lastPrinted>2020-03-11T22:29:33Z</cp:lastPrinted>
  <dcterms:created xsi:type="dcterms:W3CDTF">2020-03-11T21:46:06Z</dcterms:created>
  <dcterms:modified xsi:type="dcterms:W3CDTF">2026-04-22T07:35:11Z</dcterms:modified>
</cp:coreProperties>
</file>